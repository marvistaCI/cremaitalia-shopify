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puts (English)" sheetId="1" state="visible" r:id="rId1"/>
    <sheet xmlns:r="http://schemas.openxmlformats.org/officeDocument/2006/relationships" name="Analysis (private)" sheetId="2" state="visible" r:id="rId2"/>
    <sheet xmlns:r="http://schemas.openxmlformats.org/officeDocument/2006/relationships" name="Presentation (US)" sheetId="3" state="visible" r:id="rId3"/>
    <sheet xmlns:r="http://schemas.openxmlformats.org/officeDocument/2006/relationships" name="Presentazione (IT)" sheetId="4" state="visible" r:id="rId4"/>
  </sheets>
  <definedNames/>
  <calcPr calcId="124519" fullCalcOnLoad="1"/>
</workbook>
</file>

<file path=xl/styles.xml><?xml version="1.0" encoding="utf-8"?>
<styleSheet xmlns="http://schemas.openxmlformats.org/spreadsheetml/2006/main">
  <numFmts count="11">
    <numFmt numFmtId="164" formatCode="€#,##0.00"/>
    <numFmt numFmtId="165" formatCode="€#,##0.0000"/>
    <numFmt numFmtId="166" formatCode="0.000"/>
    <numFmt numFmtId="167" formatCode="$#,##0.00"/>
    <numFmt numFmtId="168" formatCode="€#,##0"/>
    <numFmt numFmtId="169" formatCode="$#,##0"/>
    <numFmt numFmtId="170" formatCode="#,##0.0"/>
    <numFmt numFmtId="171" formatCode="0.0%"/>
    <numFmt numFmtId="172" formatCode="$#,##0.0000"/>
    <numFmt numFmtId="173" formatCode="0.00&quot;x&quot;"/>
    <numFmt numFmtId="174" formatCode="0.0&quot;×&quot;"/>
  </numFmts>
  <fonts count="21">
    <font>
      <name val="Calibri"/>
      <family val="2"/>
      <color theme="1"/>
      <sz val="11"/>
      <scheme val="minor"/>
    </font>
    <font>
      <name val="Calibri"/>
      <b val="1"/>
      <color rgb="0055331B"/>
      <sz val="18"/>
    </font>
    <font>
      <name val="Calibri"/>
      <i val="1"/>
      <color rgb="008C7E6A"/>
      <sz val="9"/>
    </font>
    <font>
      <name val="Calibri"/>
      <b val="1"/>
      <color rgb="00FFFFFF"/>
      <sz val="11"/>
    </font>
    <font>
      <name val="Calibri"/>
      <color rgb="0055331B"/>
      <sz val="11"/>
    </font>
    <font>
      <name val="Calibri"/>
      <b val="1"/>
      <color rgb="000000FF"/>
      <sz val="11"/>
    </font>
    <font>
      <name val="Calibri"/>
      <b val="1"/>
      <color rgb="0055331B"/>
      <sz val="11"/>
    </font>
    <font>
      <name val="Calibri"/>
      <i val="1"/>
      <color rgb="008C7E6A"/>
      <sz val="11"/>
    </font>
    <font>
      <name val="Calibri"/>
      <i val="1"/>
      <color rgb="000E7A3A"/>
      <sz val="9"/>
    </font>
    <font>
      <name val="Calibri"/>
      <b val="1"/>
      <sz val="12"/>
    </font>
    <font>
      <name val="Calibri"/>
      <b val="1"/>
      <color rgb="0055331B"/>
      <sz val="12"/>
    </font>
    <font>
      <name val="Calibri"/>
      <b val="1"/>
    </font>
    <font>
      <name val="Calibri"/>
      <b val="1"/>
      <color rgb="0055331B"/>
      <sz val="16"/>
    </font>
    <font>
      <name val="Calibri"/>
      <b val="1"/>
      <color rgb="0055331B"/>
      <sz val="20"/>
    </font>
    <font>
      <name val="Calibri"/>
      <i val="1"/>
      <color rgb="006B4A38"/>
      <sz val="11"/>
    </font>
    <font>
      <name val="Calibri"/>
      <b val="1"/>
      <color rgb="00FFFFFF"/>
      <sz val="12"/>
    </font>
    <font>
      <name val="Calibri"/>
      <b val="1"/>
      <color rgb="00FFFFFF"/>
      <sz val="14"/>
    </font>
    <font>
      <name val="Calibri"/>
      <color rgb="00FFFFFF"/>
      <sz val="11"/>
    </font>
    <font>
      <name val="Calibri"/>
      <i val="1"/>
      <color rgb="000E7A3A"/>
      <sz val="10"/>
    </font>
    <font>
      <name val="Calibri"/>
      <i val="1"/>
      <color rgb="008C7E6A"/>
      <sz val="10"/>
    </font>
    <font>
      <name val="Calibri"/>
      <color rgb="008C7E6A"/>
      <sz val="10"/>
    </font>
  </fonts>
  <fills count="10">
    <fill>
      <patternFill/>
    </fill>
    <fill>
      <patternFill patternType="gray125"/>
    </fill>
    <fill>
      <patternFill patternType="solid">
        <fgColor rgb="0055331B"/>
      </patternFill>
    </fill>
    <fill>
      <patternFill patternType="solid">
        <fgColor rgb="00FFF3C4"/>
      </patternFill>
    </fill>
    <fill>
      <patternFill patternType="solid">
        <fgColor rgb="00FBF8F1"/>
      </patternFill>
    </fill>
    <fill>
      <patternFill patternType="solid">
        <fgColor rgb="000E7A3A"/>
      </patternFill>
    </fill>
    <fill>
      <patternFill patternType="solid">
        <fgColor rgb="00C8342B"/>
      </patternFill>
    </fill>
    <fill>
      <patternFill patternType="solid">
        <fgColor rgb="00B88348"/>
      </patternFill>
    </fill>
    <fill>
      <patternFill patternType="solid">
        <fgColor rgb="00FFFFFF"/>
      </patternFill>
    </fill>
    <fill>
      <patternFill patternType="solid">
        <fgColor rgb="00E8A86A"/>
      </patternFill>
    </fill>
  </fills>
  <borders count="2">
    <border>
      <left/>
      <right/>
      <top/>
      <bottom/>
      <diagonal/>
    </border>
    <border>
      <left style="thin">
        <color rgb="00D9D2C2"/>
      </left>
      <right style="thin">
        <color rgb="00D9D2C2"/>
      </right>
      <top style="thin">
        <color rgb="00D9D2C2"/>
      </top>
      <bottom style="thin">
        <color rgb="00D9D2C2"/>
      </bottom>
    </border>
  </borders>
  <cellStyleXfs count="1">
    <xf numFmtId="0" fontId="0" fillId="0" borderId="0"/>
  </cellStyleXfs>
  <cellXfs count="82">
    <xf numFmtId="0" fontId="0" fillId="0" borderId="0" pivotButton="0" quotePrefix="0" xfId="0"/>
    <xf numFmtId="0" fontId="1" fillId="0" borderId="0" pivotButton="0" quotePrefix="0" xfId="0"/>
    <xf numFmtId="0" fontId="2" fillId="0" borderId="0" applyAlignment="1" pivotButton="0" quotePrefix="0" xfId="0">
      <alignment horizontal="general" vertical="center" wrapText="1"/>
    </xf>
    <xf numFmtId="0" fontId="3" fillId="2" borderId="0" pivotButton="0" quotePrefix="0" xfId="0"/>
    <xf numFmtId="0" fontId="0" fillId="2" borderId="0" pivotButton="0" quotePrefix="0" xfId="0"/>
    <xf numFmtId="0" fontId="4" fillId="0" borderId="0" pivotButton="0" quotePrefix="0" xfId="0"/>
    <xf numFmtId="3" fontId="5" fillId="0" borderId="0" pivotButton="0" quotePrefix="0" xfId="0"/>
    <xf numFmtId="0" fontId="2" fillId="0" borderId="0" pivotButton="0" quotePrefix="0" xfId="0"/>
    <xf numFmtId="3" fontId="4" fillId="0" borderId="0" pivotButton="0" quotePrefix="0" xfId="0"/>
    <xf numFmtId="0" fontId="6" fillId="0" borderId="0" pivotButton="0" quotePrefix="0" xfId="0"/>
    <xf numFmtId="164" fontId="5" fillId="3" borderId="0" pivotButton="0" quotePrefix="0" xfId="0"/>
    <xf numFmtId="165" fontId="4" fillId="0" borderId="0" pivotButton="0" quotePrefix="0" xfId="0"/>
    <xf numFmtId="166" fontId="5" fillId="0" borderId="0" pivotButton="0" quotePrefix="0" xfId="0"/>
    <xf numFmtId="167" fontId="4" fillId="0" borderId="0" pivotButton="0" quotePrefix="0" xfId="0"/>
    <xf numFmtId="168" fontId="4" fillId="0" borderId="0" pivotButton="0" quotePrefix="0" xfId="0"/>
    <xf numFmtId="169" fontId="4" fillId="0" borderId="0" pivotButton="0" quotePrefix="0" xfId="0"/>
    <xf numFmtId="170" fontId="4" fillId="0" borderId="0" pivotButton="0" quotePrefix="0" xfId="0"/>
    <xf numFmtId="164" fontId="4" fillId="0" borderId="0" pivotButton="0" quotePrefix="0" xfId="0"/>
    <xf numFmtId="2" fontId="5" fillId="0" borderId="0" pivotButton="0" quotePrefix="0" xfId="0"/>
    <xf numFmtId="167" fontId="5" fillId="3" borderId="0" pivotButton="0" quotePrefix="0" xfId="0"/>
    <xf numFmtId="169" fontId="5" fillId="0" borderId="0" pivotButton="0" quotePrefix="0" xfId="0"/>
    <xf numFmtId="0" fontId="7" fillId="0" borderId="0" pivotButton="0" quotePrefix="0" xfId="0"/>
    <xf numFmtId="169" fontId="7" fillId="0" borderId="0" pivotButton="0" quotePrefix="0" xfId="0"/>
    <xf numFmtId="10" fontId="5" fillId="0" borderId="0" pivotButton="0" quotePrefix="0" xfId="0"/>
    <xf numFmtId="171" fontId="5" fillId="0" borderId="0" pivotButton="0" quotePrefix="0" xfId="0"/>
    <xf numFmtId="0" fontId="8" fillId="0" borderId="0" pivotButton="0" quotePrefix="0" xfId="0"/>
    <xf numFmtId="167" fontId="6" fillId="0" borderId="0" pivotButton="0" quotePrefix="0" xfId="0"/>
    <xf numFmtId="0" fontId="9" fillId="0" borderId="0" pivotButton="0" quotePrefix="0" xfId="0"/>
    <xf numFmtId="167" fontId="10" fillId="4" borderId="0" pivotButton="0" quotePrefix="0" xfId="0"/>
    <xf numFmtId="172" fontId="4" fillId="0" borderId="0" pivotButton="0" quotePrefix="0" xfId="0"/>
    <xf numFmtId="173" fontId="6" fillId="0" borderId="0" pivotButton="0" quotePrefix="0" xfId="0"/>
    <xf numFmtId="3" fontId="5" fillId="3" borderId="0" pivotButton="0" quotePrefix="0" xfId="0"/>
    <xf numFmtId="0" fontId="6" fillId="0" borderId="0" applyAlignment="1" pivotButton="0" quotePrefix="0" xfId="0">
      <alignment horizontal="center" vertical="center"/>
    </xf>
    <xf numFmtId="174" fontId="5" fillId="0" borderId="0" applyAlignment="1" pivotButton="0" quotePrefix="0" xfId="0">
      <alignment horizontal="center" vertical="center"/>
    </xf>
    <xf numFmtId="174" fontId="6" fillId="0" borderId="0" applyAlignment="1" pivotButton="0" quotePrefix="0" xfId="0">
      <alignment horizontal="center" vertical="center"/>
    </xf>
    <xf numFmtId="171" fontId="5" fillId="3" borderId="0" pivotButton="0" quotePrefix="0" xfId="0"/>
    <xf numFmtId="167" fontId="5" fillId="0" borderId="0" pivotButton="0" quotePrefix="0" xfId="0"/>
    <xf numFmtId="0" fontId="11" fillId="0" borderId="0" applyAlignment="1" pivotButton="0" quotePrefix="0" xfId="0">
      <alignment horizontal="center"/>
    </xf>
    <xf numFmtId="171" fontId="4" fillId="0" borderId="0" pivotButton="0" quotePrefix="0" xfId="0"/>
    <xf numFmtId="174" fontId="4" fillId="0" borderId="0" pivotButton="0" quotePrefix="0" xfId="0"/>
    <xf numFmtId="164" fontId="10" fillId="3" borderId="0" pivotButton="0" quotePrefix="0" xfId="0"/>
    <xf numFmtId="0" fontId="12" fillId="0" borderId="0" pivotButton="0" quotePrefix="0" xfId="0"/>
    <xf numFmtId="0" fontId="5" fillId="0" borderId="0" pivotButton="0" quotePrefix="0" xfId="0"/>
    <xf numFmtId="166" fontId="4" fillId="0" borderId="0" pivotButton="0" quotePrefix="0" xfId="0"/>
    <xf numFmtId="0" fontId="3" fillId="2" borderId="0" applyAlignment="1" pivotButton="0" quotePrefix="0" xfId="0">
      <alignment horizontal="center" vertical="center"/>
    </xf>
    <xf numFmtId="167" fontId="6" fillId="0" borderId="0" applyAlignment="1" pivotButton="0" quotePrefix="0" xfId="0">
      <alignment horizontal="center" vertical="center"/>
    </xf>
    <xf numFmtId="167" fontId="4" fillId="0" borderId="0" applyAlignment="1" pivotButton="0" quotePrefix="0" xfId="0">
      <alignment horizontal="center" vertical="center"/>
    </xf>
    <xf numFmtId="171" fontId="6" fillId="0" borderId="0" applyAlignment="1" pivotButton="0" quotePrefix="0" xfId="0">
      <alignment horizontal="center" vertical="center"/>
    </xf>
    <xf numFmtId="174" fontId="4" fillId="0" borderId="0" applyAlignment="1" pivotButton="0" quotePrefix="0" xfId="0">
      <alignment horizontal="center" vertical="center"/>
    </xf>
    <xf numFmtId="3" fontId="6" fillId="0" borderId="0" applyAlignment="1" pivotButton="0" quotePrefix="0" xfId="0">
      <alignment horizontal="center" vertical="center"/>
    </xf>
    <xf numFmtId="0" fontId="0" fillId="5" borderId="0" pivotButton="0" quotePrefix="0" xfId="0"/>
    <xf numFmtId="0" fontId="0" fillId="4" borderId="0" pivotButton="0" quotePrefix="0" xfId="0"/>
    <xf numFmtId="0" fontId="0" fillId="6" borderId="0" pivotButton="0" quotePrefix="0" xfId="0"/>
    <xf numFmtId="0" fontId="13" fillId="4" borderId="0" applyAlignment="1" pivotButton="0" quotePrefix="0" xfId="0">
      <alignment horizontal="general" vertical="center"/>
    </xf>
    <xf numFmtId="0" fontId="14" fillId="4" borderId="0" applyAlignment="1" pivotButton="0" quotePrefix="0" xfId="0">
      <alignment horizontal="general" vertical="center"/>
    </xf>
    <xf numFmtId="0" fontId="4" fillId="4" borderId="0" applyAlignment="1" pivotButton="0" quotePrefix="0" xfId="0">
      <alignment horizontal="general" vertical="center" wrapText="1"/>
    </xf>
    <xf numFmtId="0" fontId="15" fillId="7" borderId="0" applyAlignment="1" pivotButton="0" quotePrefix="0" xfId="0">
      <alignment horizontal="general" vertical="center"/>
    </xf>
    <xf numFmtId="164" fontId="16" fillId="7" borderId="0" applyAlignment="1" pivotButton="0" quotePrefix="0" xfId="0">
      <alignment horizontal="center" vertical="center"/>
    </xf>
    <xf numFmtId="0" fontId="17" fillId="7" borderId="0" applyAlignment="1" pivotButton="0" quotePrefix="0" xfId="0">
      <alignment horizontal="left" vertical="center"/>
    </xf>
    <xf numFmtId="165" fontId="17" fillId="7" borderId="0" applyAlignment="1" pivotButton="0" quotePrefix="0" xfId="0">
      <alignment horizontal="center" vertical="center"/>
    </xf>
    <xf numFmtId="0" fontId="0" fillId="7" borderId="0" pivotButton="0" quotePrefix="0" xfId="0"/>
    <xf numFmtId="0" fontId="10" fillId="4" borderId="0" applyAlignment="1" pivotButton="0" quotePrefix="0" xfId="0">
      <alignment horizontal="general" vertical="center"/>
    </xf>
    <xf numFmtId="0" fontId="3" fillId="2" borderId="1" applyAlignment="1" pivotButton="0" quotePrefix="0" xfId="0">
      <alignment horizontal="center" vertical="center" wrapText="1"/>
    </xf>
    <xf numFmtId="0" fontId="4" fillId="4" borderId="0" applyAlignment="1" pivotButton="0" quotePrefix="0" xfId="0">
      <alignment horizontal="general" vertical="center"/>
    </xf>
    <xf numFmtId="0" fontId="2" fillId="4" borderId="0" applyAlignment="1" pivotButton="0" quotePrefix="0" xfId="0">
      <alignment horizontal="center" vertical="center"/>
    </xf>
    <xf numFmtId="0" fontId="6" fillId="8" borderId="1" applyAlignment="1" pivotButton="0" quotePrefix="0" xfId="0">
      <alignment horizontal="general" vertical="center"/>
    </xf>
    <xf numFmtId="167" fontId="4" fillId="8" borderId="1" applyAlignment="1" pivotButton="0" quotePrefix="0" xfId="0">
      <alignment horizontal="center" vertical="center"/>
    </xf>
    <xf numFmtId="167" fontId="6" fillId="8" borderId="1" applyAlignment="1" pivotButton="0" quotePrefix="0" xfId="0">
      <alignment horizontal="center" vertical="center"/>
    </xf>
    <xf numFmtId="0" fontId="4" fillId="8" borderId="1" applyAlignment="1" pivotButton="0" quotePrefix="0" xfId="0">
      <alignment horizontal="center" vertical="center"/>
    </xf>
    <xf numFmtId="0" fontId="2" fillId="8" borderId="1" applyAlignment="1" pivotButton="0" quotePrefix="0" xfId="0">
      <alignment horizontal="general" vertical="center"/>
    </xf>
    <xf numFmtId="0" fontId="2" fillId="4" borderId="0" applyAlignment="1" pivotButton="0" quotePrefix="0" xfId="0">
      <alignment horizontal="general" vertical="center" wrapText="1"/>
    </xf>
    <xf numFmtId="0" fontId="15" fillId="2" borderId="0" applyAlignment="1" pivotButton="0" quotePrefix="0" xfId="0">
      <alignment horizontal="general" vertical="center" wrapText="1"/>
    </xf>
    <xf numFmtId="164" fontId="13" fillId="9" borderId="0" applyAlignment="1" pivotButton="0" quotePrefix="0" xfId="0">
      <alignment horizontal="center" vertical="center"/>
    </xf>
    <xf numFmtId="0" fontId="10" fillId="4" borderId="0" applyAlignment="1" pivotButton="0" quotePrefix="0" xfId="0">
      <alignment horizontal="left" vertical="center"/>
    </xf>
    <xf numFmtId="164" fontId="6" fillId="4" borderId="0" applyAlignment="1" pivotButton="0" quotePrefix="0" xfId="0">
      <alignment horizontal="center" vertical="center"/>
    </xf>
    <xf numFmtId="0" fontId="4" fillId="4" borderId="0" applyAlignment="1" pivotButton="0" quotePrefix="0" xfId="0">
      <alignment horizontal="left" vertical="center"/>
    </xf>
    <xf numFmtId="0" fontId="6" fillId="4" borderId="0" applyAlignment="1" pivotButton="0" quotePrefix="0" xfId="0">
      <alignment horizontal="general" vertical="center"/>
    </xf>
    <xf numFmtId="0" fontId="6" fillId="4" borderId="1" applyAlignment="1" pivotButton="0" quotePrefix="0" xfId="0">
      <alignment horizontal="center" vertical="center"/>
    </xf>
    <xf numFmtId="0" fontId="18" fillId="4" borderId="0" applyAlignment="1" pivotButton="0" quotePrefix="0" xfId="0">
      <alignment horizontal="general" vertical="center"/>
    </xf>
    <xf numFmtId="0" fontId="19" fillId="4" borderId="0" applyAlignment="1" pivotButton="0" quotePrefix="0" xfId="0">
      <alignment horizontal="general" vertical="center"/>
    </xf>
    <xf numFmtId="166" fontId="19" fillId="4" borderId="0" applyAlignment="1" pivotButton="0" quotePrefix="0" xfId="0">
      <alignment horizontal="left" vertical="center"/>
    </xf>
    <xf numFmtId="0" fontId="20" fillId="4" borderId="0" applyAlignment="1" pivotButton="0" quotePrefix="0" xfId="0">
      <alignment horizontal="center" vertical="center"/>
    </xf>
  </cellXfs>
  <cellStyles count="1">
    <cellStyle name="Normal" xfId="0" builtinId="0" hidden="0"/>
  </cellStyles>
  <dxfs count="3">
    <dxf>
      <font>
        <name val="Calibri"/>
        <b val="1"/>
        <color rgb="000E7A3A"/>
      </font>
      <fill>
        <patternFill patternType="solid">
          <fgColor rgb="00D8EAD9"/>
        </patternFill>
      </fill>
    </dxf>
    <dxf>
      <font>
        <name val="Calibri"/>
        <b val="1"/>
        <color rgb="00C8342B"/>
      </font>
      <fill>
        <patternFill patternType="solid">
          <fgColor rgb="00F5D9D6"/>
        </patternFill>
      </fill>
    </dxf>
    <dxf>
      <font>
        <name val="Calibri"/>
        <b val="1"/>
        <color rgb="00C8342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Crema Italia</author>
  </authors>
  <commentList>
    <comment ref="B7" authorId="0" shapeId="0">
      <text>
        <t>M1 Landed Cost v2 range 12/18/26 EUR/kg, FCA roastery. This is the negotiation lever.</t>
      </text>
    </comment>
    <comment ref="B68" authorId="0" shapeId="0">
      <text>
        <t>Crema Italia Competitive Price Reference v1, verified 25 Aug 2026, first-party live pages (OneDrive Market Research). Competitive set = US specialty roasters, not Italian imports.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F115"/>
  <sheetViews>
    <sheetView showGridLines="0" workbookViewId="0">
      <pane ySplit="2" topLeftCell="A3" activePane="bottomLeft" state="frozen"/>
      <selection pane="bottomLeft" activeCell="A1" sqref="A1"/>
    </sheetView>
  </sheetViews>
  <sheetFormatPr baseColWidth="8" defaultRowHeight="15"/>
  <cols>
    <col width="44" customWidth="1" min="1" max="1"/>
    <col width="14" customWidth="1" min="2" max="2"/>
    <col width="15" customWidth="1" min="3" max="3"/>
    <col width="14" customWidth="1" min="4" max="4"/>
    <col width="14" customWidth="1" min="5" max="5"/>
    <col width="46" customWidth="1" min="6" max="6"/>
  </cols>
  <sheetData>
    <row r="1">
      <c r="A1" s="1" t="inlineStr">
        <is>
          <t>Crema Italia  ·  Roaster Pricing Calculator  (v1.5)</t>
        </is>
      </c>
    </row>
    <row r="2" ht="42" customHeight="1">
      <c r="A2" s="2" t="inlineStr">
        <is>
          <t>Blue = your inputs; yellow = the levers. Markup matrix (Store Ops 2.2) or target-margin mode, plus a units-per-order rescue (Section 4). Landed logic mirrors M1 Landed Cost v2 (ML) -&gt; $28.70/kg. US shelf bands from Competitive Price Reference v1 (25 Aug 2026). Includes a private Analysis tab (burdened cost + contribution). Instrument, not a chain model. All figures provisional.</t>
        </is>
      </c>
    </row>
    <row r="4">
      <c r="A4" s="3" t="inlineStr">
        <is>
          <t>1  ·  THE PALLET &amp; THE COFFEE</t>
        </is>
      </c>
      <c r="B4" s="4" t="n"/>
      <c r="C4" s="4" t="n"/>
      <c r="D4" s="4" t="n"/>
      <c r="E4" s="4" t="n"/>
      <c r="F4" s="4" t="n"/>
    </row>
    <row r="5">
      <c r="A5" s="5" t="inlineStr">
        <is>
          <t>Pallet net coffee weight</t>
        </is>
      </c>
      <c r="B5" s="6" t="n">
        <v>300</v>
      </c>
      <c r="C5" s="5" t="inlineStr">
        <is>
          <t>kg</t>
        </is>
      </c>
      <c r="F5" s="7" t="inlineStr">
        <is>
          <t>M1 ML 300 (270-330). ~400 kg not achievable for whole bean on a EUR-1 pallet.</t>
        </is>
      </c>
    </row>
    <row r="6">
      <c r="A6" s="5" t="inlineStr">
        <is>
          <t xml:space="preserve">  same, US</t>
        </is>
      </c>
      <c r="B6" s="8">
        <f>B5*2.20462</f>
        <v/>
      </c>
      <c r="C6" s="5" t="inlineStr">
        <is>
          <t>lb</t>
        </is>
      </c>
    </row>
    <row r="7">
      <c r="A7" s="9" t="inlineStr">
        <is>
          <t>Roaster price  ← THE LEVER</t>
        </is>
      </c>
      <c r="B7" s="10" t="n">
        <v>18</v>
      </c>
      <c r="C7" s="5" t="inlineStr">
        <is>
          <t>EUR / kg</t>
        </is>
      </c>
      <c r="F7" s="7" t="inlineStr">
        <is>
          <t>the number under negotiation. M1 range 12-26, ML 18. FCA roastery.</t>
        </is>
      </c>
    </row>
    <row r="8">
      <c r="A8" s="5" t="inlineStr">
        <is>
          <t xml:space="preserve">  same, per gram</t>
        </is>
      </c>
      <c r="B8" s="11">
        <f>B7/1000</f>
        <v/>
      </c>
      <c r="C8" s="5" t="inlineStr">
        <is>
          <t>EUR / g</t>
        </is>
      </c>
    </row>
    <row r="9">
      <c r="A9" s="5" t="inlineStr">
        <is>
          <t>EUR to USD rate</t>
        </is>
      </c>
      <c r="B9" s="12" t="n">
        <v>1.1</v>
      </c>
      <c r="C9" s="5" t="inlineStr">
        <is>
          <t>USD per EUR</t>
        </is>
      </c>
      <c r="F9" s="7" t="inlineStr">
        <is>
          <t>M1 planning ML 1.10 (1.05-1.18). Spot ~1.16 on 3 Sep 2026.</t>
        </is>
      </c>
    </row>
    <row r="10">
      <c r="A10" s="5" t="inlineStr">
        <is>
          <t>Roaster price (USD)</t>
        </is>
      </c>
      <c r="B10" s="13">
        <f>B7*B9</f>
        <v/>
      </c>
      <c r="C10" s="5" t="inlineStr">
        <is>
          <t>USD / kg</t>
        </is>
      </c>
    </row>
    <row r="11">
      <c r="A11" s="5" t="inlineStr">
        <is>
          <t>Total coffee value  (FOB, EUR)</t>
        </is>
      </c>
      <c r="B11" s="14">
        <f>B7*B5</f>
        <v/>
      </c>
      <c r="C11" s="5" t="inlineStr">
        <is>
          <t>EUR</t>
        </is>
      </c>
    </row>
    <row r="12">
      <c r="A12" s="5" t="inlineStr">
        <is>
          <t>Total coffee value  (FOB / customs value, USD)</t>
        </is>
      </c>
      <c r="B12" s="15">
        <f>B11*B9</f>
        <v/>
      </c>
      <c r="C12" s="5" t="inlineStr">
        <is>
          <t>USD</t>
        </is>
      </c>
    </row>
    <row r="14">
      <c r="A14" s="3" t="inlineStr">
        <is>
          <t>2  ·  THE FOUR BAG SIZES</t>
        </is>
      </c>
      <c r="B14" s="4" t="n"/>
      <c r="C14" s="4" t="n"/>
      <c r="D14" s="4" t="n"/>
      <c r="E14" s="4" t="n"/>
      <c r="F14" s="4" t="n"/>
    </row>
    <row r="15">
      <c r="A15" s="5" t="inlineStr">
        <is>
          <t>Bag size</t>
        </is>
      </c>
      <c r="B15" s="6" t="n">
        <v>100</v>
      </c>
      <c r="C15" s="6" t="n">
        <v>250</v>
      </c>
      <c r="D15" s="6" t="n">
        <v>500</v>
      </c>
      <c r="E15" s="6" t="n">
        <v>1000</v>
      </c>
      <c r="F15" s="7" t="inlineStr">
        <is>
          <t>grams (blue = editable)</t>
        </is>
      </c>
    </row>
    <row r="16">
      <c r="A16" s="5" t="inlineStr">
        <is>
          <t xml:space="preserve">  same, US</t>
        </is>
      </c>
      <c r="B16" s="16">
        <f>B15/28.3495</f>
        <v/>
      </c>
      <c r="C16" s="16">
        <f>C15/28.3495</f>
        <v/>
      </c>
      <c r="D16" s="16">
        <f>D15/28.3495</f>
        <v/>
      </c>
      <c r="E16" s="16">
        <f>E15/28.3495</f>
        <v/>
      </c>
      <c r="F16" s="7" t="inlineStr">
        <is>
          <t>oz</t>
        </is>
      </c>
    </row>
    <row r="17">
      <c r="A17" s="5" t="inlineStr">
        <is>
          <t>Coffee cost / bag (EUR)</t>
        </is>
      </c>
      <c r="B17" s="17">
        <f>$B7*B15/1000</f>
        <v/>
      </c>
      <c r="C17" s="17">
        <f>$B7*C15/1000</f>
        <v/>
      </c>
      <c r="D17" s="17">
        <f>$B7*D15/1000</f>
        <v/>
      </c>
      <c r="E17" s="17">
        <f>$B7*E15/1000</f>
        <v/>
      </c>
    </row>
    <row r="18">
      <c r="A18" s="5" t="inlineStr">
        <is>
          <t>Coffee cost / bag (USD)</t>
        </is>
      </c>
      <c r="B18" s="13">
        <f>$B10*B15/1000</f>
        <v/>
      </c>
      <c r="C18" s="13">
        <f>$B10*C15/1000</f>
        <v/>
      </c>
      <c r="D18" s="13">
        <f>$B10*D15/1000</f>
        <v/>
      </c>
      <c r="E18" s="13">
        <f>$B10*E15/1000</f>
        <v/>
      </c>
    </row>
    <row r="19">
      <c r="A19" s="5" t="inlineStr">
        <is>
          <t>Bags per pallet (if all this size)</t>
        </is>
      </c>
      <c r="B19" s="8">
        <f>$B5*1000/B15</f>
        <v/>
      </c>
      <c r="C19" s="8">
        <f>$B5*1000/C15</f>
        <v/>
      </c>
      <c r="D19" s="8">
        <f>$B5*1000/D15</f>
        <v/>
      </c>
      <c r="E19" s="8">
        <f>$B5*1000/E15</f>
        <v/>
      </c>
    </row>
    <row r="21">
      <c r="A21" s="3" t="inlineStr">
        <is>
          <t>3  ·  GET IT TO THE US 3PL SHELF   (landed COGS — mirrors M1 v2 ML)</t>
        </is>
      </c>
      <c r="B21" s="4" t="n"/>
      <c r="C21" s="4" t="n"/>
      <c r="D21" s="4" t="n"/>
      <c r="E21" s="4" t="n"/>
      <c r="F21" s="4" t="n"/>
    </row>
    <row r="22">
      <c r="A22" s="5" t="inlineStr">
        <is>
          <t>Packaging gross-up factor (cartons)</t>
        </is>
      </c>
      <c r="B22" s="18" t="n">
        <v>1.05</v>
      </c>
      <c r="C22" s="5" t="inlineStr">
        <is>
          <t>x net</t>
        </is>
      </c>
    </row>
    <row r="23">
      <c r="A23" s="5" t="inlineStr">
        <is>
          <t>Pallet &amp; wrap weight</t>
        </is>
      </c>
      <c r="B23" s="6" t="n">
        <v>30</v>
      </c>
      <c r="C23" s="5" t="inlineStr">
        <is>
          <t>kg</t>
        </is>
      </c>
    </row>
    <row r="24">
      <c r="A24" s="5" t="inlineStr">
        <is>
          <t>Chargeable (gross) air weight</t>
        </is>
      </c>
      <c r="B24" s="8">
        <f>B5*B22+B23</f>
        <v/>
      </c>
      <c r="C24" s="5" t="inlineStr">
        <is>
          <t>kg</t>
        </is>
      </c>
      <c r="F24" s="7" t="inlineStr">
        <is>
          <t>net + cartons + pallet/wrap; air billed on this. M1 ~344.5 kg.</t>
        </is>
      </c>
    </row>
    <row r="25">
      <c r="A25" s="5" t="inlineStr">
        <is>
          <t>Air freight rate  (marginal, all-in)</t>
        </is>
      </c>
      <c r="B25" s="19" t="n">
        <v>4.35</v>
      </c>
      <c r="C25" s="5" t="inlineStr">
        <is>
          <t>USD / kg</t>
        </is>
      </c>
      <c r="F25" s="7" t="inlineStr">
        <is>
          <t>M1 ML 4.35 (3.5-6). Fuel + security + terminal included.</t>
        </is>
      </c>
    </row>
    <row r="26">
      <c r="A26" s="5" t="inlineStr">
        <is>
          <t>Air freight — total</t>
        </is>
      </c>
      <c r="B26" s="13">
        <f>B24*B25</f>
        <v/>
      </c>
      <c r="C26" s="5" t="inlineStr">
        <is>
          <t>USD</t>
        </is>
      </c>
    </row>
    <row r="27">
      <c r="A27" s="5" t="inlineStr">
        <is>
          <t>Per-shipment fixed (handling, AWB/docs, terminal)</t>
        </is>
      </c>
      <c r="B27" s="20" t="n">
        <v>800</v>
      </c>
      <c r="C27" s="5" t="inlineStr">
        <is>
          <t>USD / shpmt</t>
        </is>
      </c>
      <c r="F27" s="7" t="inlineStr">
        <is>
          <t>M1 ML 800 (500-1400). Replaces ISF (ocean-only).</t>
        </is>
      </c>
    </row>
    <row r="28">
      <c r="A28" s="5" t="inlineStr">
        <is>
          <t>Customs broker entry fee</t>
        </is>
      </c>
      <c r="B28" s="20" t="n">
        <v>175</v>
      </c>
      <c r="C28" s="5" t="inlineStr">
        <is>
          <t>USD / entry</t>
        </is>
      </c>
    </row>
    <row r="29">
      <c r="A29" s="5" t="inlineStr">
        <is>
          <t>Inland trucking, port to 3PL</t>
        </is>
      </c>
      <c r="B29" s="20" t="n">
        <v>125</v>
      </c>
      <c r="C29" s="5" t="inlineStr">
        <is>
          <t>USD / pallet</t>
        </is>
      </c>
    </row>
    <row r="30">
      <c r="A30" s="21" t="inlineStr">
        <is>
          <t>3PL inbound receiving  (reference, not summed)</t>
        </is>
      </c>
      <c r="B30" s="22" t="n">
        <v>40</v>
      </c>
      <c r="C30" s="21" t="inlineStr">
        <is>
          <t>USD / pallet</t>
        </is>
      </c>
      <c r="F30" s="7" t="inlineStr">
        <is>
          <t>M1 books receiving as MONTHLY FIXED, not landed. Excluded so landed matches M1.</t>
        </is>
      </c>
    </row>
    <row r="31">
      <c r="A31" s="5" t="inlineStr">
        <is>
          <t>Cargo insurance rate</t>
        </is>
      </c>
      <c r="B31" s="23" t="n">
        <v>0.0045</v>
      </c>
      <c r="C31" s="5" t="inlineStr">
        <is>
          <t>of goods+frt+fixed</t>
        </is>
      </c>
    </row>
    <row r="32">
      <c r="A32" s="5" t="inlineStr">
        <is>
          <t>Cargo insurance — total</t>
        </is>
      </c>
      <c r="B32" s="13">
        <f>B31*(B12+B26+B27)</f>
        <v/>
      </c>
      <c r="C32" s="5" t="inlineStr">
        <is>
          <t>USD</t>
        </is>
      </c>
    </row>
    <row r="33">
      <c r="A33" s="5" t="inlineStr">
        <is>
          <t>US import duty (roasted coffee)</t>
        </is>
      </c>
      <c r="B33" s="24" t="n">
        <v>0</v>
      </c>
      <c r="C33" s="5" t="inlineStr">
        <is>
          <t>of FOB</t>
        </is>
      </c>
      <c r="F33" s="25" t="inlineStr">
        <is>
          <t>HTS 0901.21.00 = FREE. Section 301 forced-labor action could assess 10% - toggle to stress-test.</t>
        </is>
      </c>
    </row>
    <row r="34">
      <c r="A34" s="5" t="inlineStr">
        <is>
          <t>Duty — total</t>
        </is>
      </c>
      <c r="B34" s="13">
        <f>B12*B33</f>
        <v/>
      </c>
      <c r="C34" s="5" t="inlineStr">
        <is>
          <t>USD</t>
        </is>
      </c>
    </row>
    <row r="35">
      <c r="A35" s="5" t="inlineStr">
        <is>
          <t>MPF (merchandise processing fee)</t>
        </is>
      </c>
      <c r="B35" s="13">
        <f>MIN(651.5,MAX(33.58,0.003464*B12))</f>
        <v/>
      </c>
      <c r="C35" s="5" t="inlineStr">
        <is>
          <t>USD</t>
        </is>
      </c>
      <c r="F35" s="7" t="inlineStr">
        <is>
          <t>0.3464% of customs value, min $33.58 / max $651.50 (FY2026). HMF is ocean-only (N/A).</t>
        </is>
      </c>
    </row>
    <row r="36">
      <c r="A36" s="5" t="inlineStr">
        <is>
          <t>Fixed adders / shipment (non-freight)</t>
        </is>
      </c>
      <c r="B36" s="13">
        <f>B27+B28+B29+B32+B34+B35</f>
        <v/>
      </c>
    </row>
    <row r="37">
      <c r="A37" s="5" t="inlineStr">
        <is>
          <t>All landed adders (freight + fixed)</t>
        </is>
      </c>
      <c r="B37" s="13">
        <f>B26+B36</f>
        <v/>
      </c>
      <c r="C37" s="5" t="inlineStr">
        <is>
          <t>USD / shpmt</t>
        </is>
      </c>
    </row>
    <row r="38">
      <c r="A38" s="9" t="inlineStr">
        <is>
          <t>Landed adders per sellable kg</t>
        </is>
      </c>
      <c r="B38" s="26">
        <f>B37/B5</f>
        <v/>
      </c>
      <c r="C38" s="5" t="inlineStr">
        <is>
          <t>USD / kg</t>
        </is>
      </c>
    </row>
    <row r="39">
      <c r="A39" s="27" t="inlineStr">
        <is>
          <t>LANDED COST per kg</t>
        </is>
      </c>
      <c r="B39" s="28">
        <f>B10+B38</f>
        <v/>
      </c>
      <c r="C39" s="5" t="inlineStr">
        <is>
          <t>USD / kg</t>
        </is>
      </c>
      <c r="F39" s="7" t="inlineStr">
        <is>
          <t>mirrors M1 v2. At M1 ML inputs = $28.70/kg.</t>
        </is>
      </c>
    </row>
    <row r="40">
      <c r="A40" s="5" t="inlineStr">
        <is>
          <t xml:space="preserve">  landed cost per gram</t>
        </is>
      </c>
      <c r="B40" s="29">
        <f>B39/1000</f>
        <v/>
      </c>
      <c r="C40" s="5" t="inlineStr">
        <is>
          <t>USD / g</t>
        </is>
      </c>
    </row>
    <row r="41">
      <c r="A41" s="9" t="inlineStr">
        <is>
          <t>Landed multiple vs FOB</t>
        </is>
      </c>
      <c r="B41" s="30">
        <f>B39/B10</f>
        <v/>
      </c>
      <c r="C41" s="5" t="inlineStr">
        <is>
          <t>x</t>
        </is>
      </c>
    </row>
    <row r="43">
      <c r="A43" s="3" t="inlineStr">
        <is>
          <t>4  ·  PRICING MODE, MARKUP MATRIX &amp; RESCUE</t>
        </is>
      </c>
      <c r="B43" s="4" t="n"/>
      <c r="C43" s="4" t="n"/>
      <c r="D43" s="4" t="n"/>
      <c r="E43" s="4" t="n"/>
      <c r="F43" s="4" t="n"/>
    </row>
    <row r="44">
      <c r="A44" s="9" t="inlineStr">
        <is>
          <t>Pricing mode  (1 = Markup matrix,  2 = Target gross margin)</t>
        </is>
      </c>
      <c r="B44" s="31" t="n">
        <v>1</v>
      </c>
    </row>
    <row r="45" ht="24" customHeight="1">
      <c r="A45" s="2" t="inlineStr">
        <is>
          <t>Mode 1 - Markup matrix (x landed cost), Store Operating Standards 2.2. Smaller bags carry a higher factor. The table is admin-configurable (blue). Blank = size not sold on that shelf.</t>
        </is>
      </c>
    </row>
    <row r="46">
      <c r="A46" s="9" t="inlineStr">
        <is>
          <t>Shelf</t>
        </is>
      </c>
      <c r="B46" s="32" t="inlineStr">
        <is>
          <t>100g</t>
        </is>
      </c>
      <c r="C46" s="32" t="inlineStr">
        <is>
          <t>250g</t>
        </is>
      </c>
      <c r="D46" s="32" t="inlineStr">
        <is>
          <t>500g</t>
        </is>
      </c>
      <c r="E46" s="32" t="inlineStr">
        <is>
          <t>1kg</t>
        </is>
      </c>
    </row>
    <row r="47">
      <c r="A47" s="5" t="inlineStr">
        <is>
          <t xml:space="preserve">  Roccia</t>
        </is>
      </c>
      <c r="C47" s="33" t="n">
        <v>2.8</v>
      </c>
      <c r="D47" s="33" t="n">
        <v>2.5</v>
      </c>
      <c r="E47" s="33" t="n">
        <v>2.2</v>
      </c>
    </row>
    <row r="48">
      <c r="A48" s="5" t="inlineStr">
        <is>
          <t xml:space="preserve">  Sorpresa</t>
        </is>
      </c>
      <c r="B48" s="33" t="n">
        <v>3.7</v>
      </c>
    </row>
    <row r="49">
      <c r="A49" s="5" t="inlineStr">
        <is>
          <t xml:space="preserve">  Selezione</t>
        </is>
      </c>
      <c r="B49" s="33" t="n">
        <v>3.7</v>
      </c>
      <c r="C49" s="33" t="n">
        <v>3</v>
      </c>
      <c r="D49" s="33" t="n">
        <v>2.7</v>
      </c>
      <c r="E49" s="33" t="n">
        <v>2.4</v>
      </c>
    </row>
    <row r="50">
      <c r="A50" s="5" t="inlineStr">
        <is>
          <t xml:space="preserve">  Bottega</t>
        </is>
      </c>
      <c r="B50" s="33" t="n">
        <v>2</v>
      </c>
      <c r="C50" s="33" t="n">
        <v>2</v>
      </c>
      <c r="D50" s="33" t="n">
        <v>2</v>
      </c>
      <c r="E50" s="33" t="n">
        <v>2</v>
      </c>
      <c r="F50" s="7" t="inlineStr">
        <is>
          <t>Aged/Offerta O-factors: Roccia 2.3/1.7/1.5; Selezione 3.2/2.5/2.2/1.9; Sorpresa 3.2. Type into the active row to model aged.</t>
        </is>
      </c>
    </row>
    <row r="51">
      <c r="A51" s="9" t="inlineStr">
        <is>
          <t>Shelf (matrix row): 1 Roccia  2 Sorpresa  3 Selezione  4 Bottega</t>
        </is>
      </c>
      <c r="B51" s="31" t="n">
        <v>3</v>
      </c>
    </row>
    <row r="52">
      <c r="A52" s="9" t="inlineStr">
        <is>
          <t>Active markup factor (x landed), by size</t>
        </is>
      </c>
      <c r="B52" s="34">
        <f>CHOOSE($B51,B47,B48,B49,B50)</f>
        <v/>
      </c>
      <c r="C52" s="34">
        <f>CHOOSE($B51,C47,C48,C49,C50)</f>
        <v/>
      </c>
      <c r="D52" s="34">
        <f>CHOOSE($B51,D47,D48,D49,D50)</f>
        <v/>
      </c>
      <c r="E52" s="34">
        <f>CHOOSE($B51,E47,E48,E49,E50)</f>
        <v/>
      </c>
    </row>
    <row r="53">
      <c r="A53" s="5" t="inlineStr">
        <is>
          <t>Mode 2 - Target gross margin  ← LEVER</t>
        </is>
      </c>
      <c r="B53" s="35" t="n">
        <v>0.6</v>
      </c>
      <c r="C53" s="5" t="inlineStr">
        <is>
          <t>on burdened cost</t>
        </is>
      </c>
    </row>
    <row r="54">
      <c r="A54" s="5" t="inlineStr">
        <is>
          <t>Fulfilment / order - pick &amp; pack</t>
        </is>
      </c>
      <c r="B54" s="36" t="n">
        <v>3.46</v>
      </c>
      <c r="C54" s="5" t="inlineStr">
        <is>
          <t>USD / order</t>
        </is>
      </c>
    </row>
    <row r="55">
      <c r="A55" s="5" t="inlineStr">
        <is>
          <t>Fulfilment / order - outbound shipping</t>
        </is>
      </c>
      <c r="B55" s="36" t="n">
        <v>8.25</v>
      </c>
      <c r="C55" s="5" t="inlineStr">
        <is>
          <t>USD / order</t>
        </is>
      </c>
      <c r="F55" s="7" t="inlineStr">
        <is>
          <t>M1 ML; weight/zone split still needed (Store Ops 8.3).</t>
        </is>
      </c>
    </row>
    <row r="56">
      <c r="A56" s="5" t="inlineStr">
        <is>
          <t>Fulfilment / order - packaging / mailer</t>
        </is>
      </c>
      <c r="B56" s="36" t="n">
        <v>1.25</v>
      </c>
      <c r="C56" s="5" t="inlineStr">
        <is>
          <t>USD / order</t>
        </is>
      </c>
    </row>
    <row r="57">
      <c r="A57" s="5" t="inlineStr">
        <is>
          <t>Fulfilment / order - insert card</t>
        </is>
      </c>
      <c r="B57" s="36" t="n">
        <v>0.18</v>
      </c>
      <c r="C57" s="5" t="inlineStr">
        <is>
          <t>USD / order</t>
        </is>
      </c>
    </row>
    <row r="58">
      <c r="A58" s="5" t="inlineStr">
        <is>
          <t>Fulfilment / order - payment + Loop fees</t>
        </is>
      </c>
      <c r="B58" s="36" t="n">
        <v>1.62</v>
      </c>
      <c r="C58" s="5" t="inlineStr">
        <is>
          <t>USD / order</t>
        </is>
      </c>
      <c r="F58" s="7" t="inlineStr">
        <is>
          <t>~2.7% Shopify + 1.0% Loop at the ML order value.</t>
        </is>
      </c>
    </row>
    <row r="59">
      <c r="A59" s="5" t="inlineStr">
        <is>
          <t>Per-order variable cost (sum, 1 bag/order)</t>
        </is>
      </c>
      <c r="B59" s="26">
        <f>B54+B55+B56+B57+B58</f>
        <v/>
      </c>
      <c r="C59" s="5" t="inlineStr">
        <is>
          <t>USD / order</t>
        </is>
      </c>
      <c r="F59" s="7" t="inlineStr">
        <is>
          <t>itemised so kitting is explicit; sums to M1 v2 ML ~14.76.</t>
        </is>
      </c>
    </row>
    <row r="60">
      <c r="A60" s="5" t="inlineStr">
        <is>
          <t>Units per order (typical basket)  ← LEVER</t>
        </is>
      </c>
      <c r="B60" s="31" t="n">
        <v>1</v>
      </c>
      <c r="C60" s="5" t="inlineStr">
        <is>
          <t>bags / order</t>
        </is>
      </c>
      <c r="F60" s="7" t="inlineStr">
        <is>
          <t>the rescue lever: fixed fulfilment shared across the basket.</t>
        </is>
      </c>
    </row>
    <row r="61">
      <c r="A61" s="5" t="inlineStr">
        <is>
          <t>Per-unit incremental fulfilment</t>
        </is>
      </c>
      <c r="B61" s="36" t="n">
        <v>0.85</v>
      </c>
      <c r="C61" s="5" t="inlineStr">
        <is>
          <t>USD / extra bag</t>
        </is>
      </c>
      <c r="F61" s="7" t="inlineStr">
        <is>
          <t>cost of each additional bag in the same box.</t>
        </is>
      </c>
    </row>
    <row r="62">
      <c r="A62" s="5" t="inlineStr">
        <is>
          <t>Fulfilment cost per bag at this basket</t>
        </is>
      </c>
      <c r="B62" s="26">
        <f>(B59-B61)/B60+B61</f>
        <v/>
      </c>
      <c r="C62" s="5" t="inlineStr">
        <is>
          <t>USD / bag</t>
        </is>
      </c>
      <c r="F62" s="7" t="inlineStr">
        <is>
          <t>fulfilment/bag = (per-order - per-unit)/N + per-unit; N=1 equals the per-order cost.</t>
        </is>
      </c>
    </row>
    <row r="63">
      <c r="A63" s="21" t="inlineStr">
        <is>
          <t xml:space="preserve">  Monthly fixed (reference only, not in price)</t>
        </is>
      </c>
      <c r="B63" s="22" t="n">
        <v>1664</v>
      </c>
      <c r="C63" s="21" t="inlineStr">
        <is>
          <t>USD / month</t>
        </is>
      </c>
    </row>
    <row r="64" ht="26" customHeight="1">
      <c r="A64" s="2" t="inlineStr">
        <is>
          <t>Mode 1: retail = landed COGS/bag x the size's matrix factor.   Mode 2: retail = (landed/bag + fulfilment/bag) / (1 - margin). Raising units per order shares the fixed fulfilment across the basket - the main margin rescue.</t>
        </is>
      </c>
    </row>
    <row r="66">
      <c r="A66" s="3" t="inlineStr">
        <is>
          <t>5  ·  THE AMERICAN SHELF   (US specialty roasters — Competitive Price Reference v1, 25 Aug 2026)</t>
        </is>
      </c>
      <c r="B66" s="4" t="n"/>
      <c r="C66" s="4" t="n"/>
      <c r="D66" s="4" t="n"/>
      <c r="E66" s="4" t="n"/>
      <c r="F66" s="4" t="n"/>
    </row>
    <row r="67">
      <c r="A67" s="9" t="inlineStr">
        <is>
          <t>Set</t>
        </is>
      </c>
      <c r="B67" s="32" t="inlineStr">
        <is>
          <t>Low $/100g</t>
        </is>
      </c>
      <c r="C67" s="32" t="inlineStr">
        <is>
          <t>High $/100g</t>
        </is>
      </c>
      <c r="D67" s="9" t="inlineStr">
        <is>
          <t>note</t>
        </is>
      </c>
    </row>
    <row r="68">
      <c r="A68" s="5" t="inlineStr">
        <is>
          <t>1  House / core blends</t>
        </is>
      </c>
      <c r="B68" s="36" t="n">
        <v>5.73</v>
      </c>
      <c r="C68" s="36" t="n">
        <v>8.69</v>
      </c>
      <c r="D68" s="7" t="inlineStr">
        <is>
          <t>Counter Culture 5.73 / G.Howell 5.88 / Verve 6.47 / B&amp;W 7.05 / Onyx 7.58</t>
        </is>
      </c>
    </row>
    <row r="69">
      <c r="A69" s="5" t="inlineStr">
        <is>
          <t>2  Single origin (all formats)</t>
        </is>
      </c>
      <c r="B69" s="36" t="n">
        <v>7.05</v>
      </c>
      <c r="C69" s="36" t="n">
        <v>12.8</v>
      </c>
    </row>
    <row r="70">
      <c r="A70" s="5" t="inlineStr">
        <is>
          <t>3  250 g single origin (format-matched, Tier 1)</t>
        </is>
      </c>
      <c r="B70" s="36" t="n">
        <v>9.6</v>
      </c>
      <c r="C70" s="36" t="n">
        <v>12.8</v>
      </c>
      <c r="D70" s="7" t="inlineStr">
        <is>
          <t>Proud Mary / Sey / Passenger - only US brands selling 250 g. $24-32 per 250 g.</t>
        </is>
      </c>
    </row>
    <row r="71">
      <c r="A71" s="5" t="inlineStr">
        <is>
          <t>4  1 kg cross-shop ceiling (Verve)</t>
        </is>
      </c>
      <c r="B71" s="36" t="n">
        <v>6.26</v>
      </c>
      <c r="C71" s="36" t="n">
        <v>7.69</v>
      </c>
      <c r="D71" s="7" t="inlineStr">
        <is>
          <t>only Tier-2 brand with a true 1 kg SKU. $62.50-77.25 per kg.</t>
        </is>
      </c>
    </row>
    <row r="72">
      <c r="A72" s="5" t="inlineStr">
        <is>
          <t>5  CONTEXT only - Italian commercial imports</t>
        </is>
      </c>
      <c r="B72" s="36" t="n">
        <v>1.99</v>
      </c>
      <c r="C72" s="36" t="n">
        <v>3.76</v>
      </c>
      <c r="D72" s="7" t="inlineStr">
        <is>
          <t>Espresso Intl, Lavazza 2.51. No roast date. NOT our set (Steve, 25 Aug 2026).</t>
        </is>
      </c>
    </row>
    <row r="73">
      <c r="A73" s="9" t="inlineStr">
        <is>
          <t>Benchmark set (1-5)</t>
        </is>
      </c>
      <c r="B73" s="6" t="n">
        <v>4</v>
      </c>
      <c r="F73" s="7" t="inlineStr">
        <is>
          <t>5 = context, do not benchmark</t>
        </is>
      </c>
    </row>
    <row r="74">
      <c r="A74" s="5" t="inlineStr">
        <is>
          <t>Benchmark point (1=Low 2=Mid 3=High)</t>
        </is>
      </c>
      <c r="B74" s="6" t="n">
        <v>1</v>
      </c>
    </row>
    <row r="75">
      <c r="A75" s="5" t="inlineStr">
        <is>
          <t xml:space="preserve">  chosen band Low</t>
        </is>
      </c>
      <c r="B75" s="13">
        <f>CHOOSE(B73,B68,B69,B70,B71,B72)</f>
        <v/>
      </c>
    </row>
    <row r="76">
      <c r="A76" s="5" t="inlineStr">
        <is>
          <t xml:space="preserve">  chosen band High</t>
        </is>
      </c>
      <c r="B76" s="13">
        <f>CHOOSE(B73,C68,C69,C70,C71,C72)</f>
        <v/>
      </c>
    </row>
    <row r="77">
      <c r="A77" s="9" t="inlineStr">
        <is>
          <t>Ceiling (chosen point)</t>
        </is>
      </c>
      <c r="B77" s="26">
        <f>CHOOSE(B74,B75,(B75+B76)/2,B76)</f>
        <v/>
      </c>
      <c r="C77" s="5" t="inlineStr">
        <is>
          <t>USD / 100 g</t>
        </is>
      </c>
    </row>
    <row r="79">
      <c r="A79" s="3" t="inlineStr">
        <is>
          <t>6  ·  RESULTS BY BAG SIZE</t>
        </is>
      </c>
      <c r="B79" s="4" t="n"/>
      <c r="C79" s="4" t="n"/>
      <c r="D79" s="4" t="n"/>
      <c r="E79" s="4" t="n"/>
      <c r="F79" s="4" t="n"/>
    </row>
    <row r="80">
      <c r="A80" s="9" t="inlineStr">
        <is>
          <t>Metric</t>
        </is>
      </c>
      <c r="B80" s="32">
        <f>TEXT(B15,"0")&amp;" g"</f>
        <v/>
      </c>
      <c r="C80" s="32">
        <f>TEXT(C15,"0")&amp;" g"</f>
        <v/>
      </c>
      <c r="D80" s="32">
        <f>TEXT(D15,"0")&amp;" g"</f>
        <v/>
      </c>
      <c r="E80" s="32">
        <f>TEXT(E15,"0")&amp;" g"</f>
        <v/>
      </c>
    </row>
    <row r="81">
      <c r="A81" s="5" t="inlineStr">
        <is>
          <t>Coffee cost / bag (USD)</t>
        </is>
      </c>
      <c r="B81" s="13">
        <f>$B10*B15/1000</f>
        <v/>
      </c>
      <c r="C81" s="13">
        <f>$B10*C15/1000</f>
        <v/>
      </c>
      <c r="D81" s="13">
        <f>$B10*D15/1000</f>
        <v/>
      </c>
      <c r="E81" s="13">
        <f>$B10*E15/1000</f>
        <v/>
      </c>
    </row>
    <row r="82">
      <c r="A82" s="5" t="inlineStr">
        <is>
          <t>Landed COGS / bag (USD)</t>
        </is>
      </c>
      <c r="B82" s="13">
        <f>$B39*B15/1000</f>
        <v/>
      </c>
      <c r="C82" s="13">
        <f>$B39*C15/1000</f>
        <v/>
      </c>
      <c r="D82" s="13">
        <f>$B39*D15/1000</f>
        <v/>
      </c>
      <c r="E82" s="13">
        <f>$B39*E15/1000</f>
        <v/>
      </c>
    </row>
    <row r="83">
      <c r="A83" s="9" t="inlineStr">
        <is>
          <t>Our retail / bag (USD)  [mode-aware]</t>
        </is>
      </c>
      <c r="B83" s="26">
        <f>IF($B44=1,IF(B52&gt;0,B82*B52,""),(B82+$B62)/(1-$B53))</f>
        <v/>
      </c>
      <c r="C83" s="26">
        <f>IF($B44=1,IF(C52&gt;0,C82*C52,""),(C82+$B62)/(1-$B53))</f>
        <v/>
      </c>
      <c r="D83" s="26">
        <f>IF($B44=1,IF(D52&gt;0,D82*D52,""),(D82+$B62)/(1-$B53))</f>
        <v/>
      </c>
      <c r="E83" s="26">
        <f>IF($B44=1,IF(E52&gt;0,E82*E52,""),(E82+$B62)/(1-$B53))</f>
        <v/>
      </c>
    </row>
    <row r="84">
      <c r="A84" s="5" t="inlineStr">
        <is>
          <t>Retail unit price (USD / 100 g)</t>
        </is>
      </c>
      <c r="B84" s="13">
        <f>IF(B83="","",B83/B15*100)</f>
        <v/>
      </c>
      <c r="C84" s="13">
        <f>IF(C83="","",C83/C15*100)</f>
        <v/>
      </c>
      <c r="D84" s="13">
        <f>IF(D83="","",D83/D15*100)</f>
        <v/>
      </c>
      <c r="E84" s="13">
        <f>IF(E83="","",E83/E15*100)</f>
        <v/>
      </c>
    </row>
    <row r="85">
      <c r="A85" s="5" t="inlineStr">
        <is>
          <t>US band LOW, this size (chosen set)</t>
        </is>
      </c>
      <c r="B85" s="13">
        <f>$B75*B15/100</f>
        <v/>
      </c>
      <c r="C85" s="13">
        <f>$B75*C15/100</f>
        <v/>
      </c>
      <c r="D85" s="13">
        <f>$B75*D15/100</f>
        <v/>
      </c>
      <c r="E85" s="13">
        <f>$B75*E15/100</f>
        <v/>
      </c>
    </row>
    <row r="86">
      <c r="A86" s="5" t="inlineStr">
        <is>
          <t>US band HIGH, this size (chosen set)</t>
        </is>
      </c>
      <c r="B86" s="13">
        <f>$B76*B15/100</f>
        <v/>
      </c>
      <c r="C86" s="13">
        <f>$B76*C15/100</f>
        <v/>
      </c>
      <c r="D86" s="13">
        <f>$B76*D15/100</f>
        <v/>
      </c>
      <c r="E86" s="13">
        <f>$B76*E15/100</f>
        <v/>
      </c>
    </row>
    <row r="87">
      <c r="A87" s="5" t="inlineStr">
        <is>
          <t>Our unit price minus ceiling (USD/100g)</t>
        </is>
      </c>
      <c r="B87" s="13">
        <f>IF(B84="","",B84-$B77)</f>
        <v/>
      </c>
      <c r="C87" s="13">
        <f>IF(C84="","",C84-$B77)</f>
        <v/>
      </c>
      <c r="D87" s="13">
        <f>IF(D84="","",D84-$B77)</f>
        <v/>
      </c>
      <c r="E87" s="13">
        <f>IF(E84="","",E84-$B77)</f>
        <v/>
      </c>
    </row>
    <row r="88">
      <c r="A88" s="9" t="inlineStr">
        <is>
          <t>Status vs chosen ceiling</t>
        </is>
      </c>
      <c r="B88" s="37">
        <f>IF(B84="","",IF(B84&lt;=$B77,"WITHIN","ABOVE"))</f>
        <v/>
      </c>
      <c r="C88" s="37">
        <f>IF(C84="","",IF(C84&lt;=$B77,"WITHIN","ABOVE"))</f>
        <v/>
      </c>
      <c r="D88" s="37">
        <f>IF(D84="","",IF(D84&lt;=$B77,"WITHIN","ABOVE"))</f>
        <v/>
      </c>
      <c r="E88" s="37">
        <f>IF(E84="","",IF(E84&lt;=$B77,"WITHIN","ABOVE"))</f>
        <v/>
      </c>
    </row>
    <row r="89">
      <c r="A89" s="5" t="inlineStr">
        <is>
          <t>Gross margin at this retail (burdened)</t>
        </is>
      </c>
      <c r="B89" s="38">
        <f>IF(B83="","",(B83-(B82+$B62))/B83)</f>
        <v/>
      </c>
      <c r="C89" s="38">
        <f>IF(C83="","",(C83-(C82+$B62))/C83)</f>
        <v/>
      </c>
      <c r="D89" s="38">
        <f>IF(D83="","",(D83-(D82+$B62))/D83)</f>
        <v/>
      </c>
      <c r="E89" s="38">
        <f>IF(E83="","",(E83-(E82+$B62))/E83)</f>
        <v/>
      </c>
      <c r="F89" s="7" t="inlineStr">
        <is>
          <t>burdened = landed/bag + fulfilment/bag. Negative = the bag loses money at this price.</t>
        </is>
      </c>
    </row>
    <row r="91">
      <c r="A91" s="3" t="inlineStr">
        <is>
          <t>7  ·  TARGET ROASTER PRICE   (what we can pay and stay competitive)</t>
        </is>
      </c>
      <c r="B91" s="4" t="n"/>
      <c r="C91" s="4" t="n"/>
      <c r="D91" s="4" t="n"/>
      <c r="E91" s="4" t="n"/>
      <c r="F91" s="4" t="n"/>
    </row>
    <row r="92">
      <c r="A92" s="5" t="inlineStr">
        <is>
          <t>Solve target against bag size</t>
        </is>
      </c>
      <c r="B92" s="6" t="n">
        <v>250</v>
      </c>
      <c r="C92" s="5" t="inlineStr">
        <is>
          <t>g</t>
        </is>
      </c>
      <c r="F92" s="7" t="inlineStr">
        <is>
          <t>both modes now vary by size: Mode 1 uses that size's matrix factor, Mode 2 the fixed fulfilment.</t>
        </is>
      </c>
    </row>
    <row r="93">
      <c r="A93" s="5" t="inlineStr">
        <is>
          <t xml:space="preserve">  matrix factor for the solve-size</t>
        </is>
      </c>
      <c r="B93" s="39">
        <f>IFERROR(INDEX($B$52:$E$52,MATCH(B92,$B$15:$E$15,0)),0)</f>
        <v/>
      </c>
      <c r="C93" s="5" t="inlineStr">
        <is>
          <t>x landed</t>
        </is>
      </c>
    </row>
    <row r="94">
      <c r="A94" s="5" t="inlineStr">
        <is>
          <t>American ceiling (chosen)</t>
        </is>
      </c>
      <c r="B94" s="13">
        <f>B77*10</f>
        <v/>
      </c>
      <c r="C94" s="5" t="inlineStr">
        <is>
          <t>USD / kg</t>
        </is>
      </c>
    </row>
    <row r="95">
      <c r="A95" s="5" t="inlineStr">
        <is>
          <t>Mode 1: max landed COGS/kg = ceiling / matrix factor</t>
        </is>
      </c>
      <c r="B95" s="13">
        <f>IF(B93&gt;0,B94/B93,0)</f>
        <v/>
      </c>
      <c r="C95" s="5" t="inlineStr">
        <is>
          <t>USD / kg</t>
        </is>
      </c>
    </row>
    <row r="96">
      <c r="A96" s="5" t="inlineStr">
        <is>
          <t>Mode 2: ceiling for the solve-size bag</t>
        </is>
      </c>
      <c r="B96" s="13">
        <f>B77*B92/100</f>
        <v/>
      </c>
      <c r="C96" s="5" t="inlineStr">
        <is>
          <t>USD / bag</t>
        </is>
      </c>
    </row>
    <row r="97">
      <c r="A97" s="5" t="inlineStr">
        <is>
          <t>Mode 2: required landed COGS for that bag</t>
        </is>
      </c>
      <c r="B97" s="13">
        <f>B96*(1-B53)-B62</f>
        <v/>
      </c>
      <c r="C97" s="5" t="inlineStr">
        <is>
          <t>USD / bag</t>
        </is>
      </c>
    </row>
    <row r="98">
      <c r="A98" s="5" t="inlineStr">
        <is>
          <t>Mode 2: that as landed COGS / kg</t>
        </is>
      </c>
      <c r="B98" s="13">
        <f>B97/(B92/1000)</f>
        <v/>
      </c>
      <c r="C98" s="5" t="inlineStr">
        <is>
          <t>USD / kg</t>
        </is>
      </c>
    </row>
    <row r="99">
      <c r="A99" s="5" t="inlineStr">
        <is>
          <t>Effective max landed COGS / kg (by mode)</t>
        </is>
      </c>
      <c r="B99" s="13">
        <f>IF(B44=1,B95,B98)</f>
        <v/>
      </c>
      <c r="C99" s="5" t="inlineStr">
        <is>
          <t>USD / kg</t>
        </is>
      </c>
    </row>
    <row r="100">
      <c r="A100" s="5" t="inlineStr">
        <is>
          <t>Less landed adders / kg</t>
        </is>
      </c>
      <c r="B100" s="13">
        <f>B38</f>
        <v/>
      </c>
      <c r="C100" s="5" t="inlineStr">
        <is>
          <t>USD / kg</t>
        </is>
      </c>
    </row>
    <row r="101">
      <c r="A101" s="5" t="inlineStr">
        <is>
          <t>Max coffee cost / kg (USD)</t>
        </is>
      </c>
      <c r="B101" s="13">
        <f>B99-B100</f>
        <v/>
      </c>
      <c r="C101" s="5" t="inlineStr">
        <is>
          <t>USD / kg</t>
        </is>
      </c>
    </row>
    <row r="102">
      <c r="A102" s="9" t="inlineStr">
        <is>
          <t>TARGET roaster price</t>
        </is>
      </c>
      <c r="B102" s="40">
        <f>IF(B101&lt;=0,"n/a",B101/B9)</f>
        <v/>
      </c>
      <c r="C102" s="5" t="inlineStr">
        <is>
          <t>EUR / kg</t>
        </is>
      </c>
    </row>
    <row r="103">
      <c r="A103" s="5" t="inlineStr">
        <is>
          <t>Your current price</t>
        </is>
      </c>
      <c r="B103" s="17">
        <f>B7</f>
        <v/>
      </c>
      <c r="C103" s="5" t="inlineStr">
        <is>
          <t>EUR / kg</t>
        </is>
      </c>
    </row>
    <row r="104">
      <c r="A104" s="5" t="inlineStr">
        <is>
          <t>Gap (current minus target)</t>
        </is>
      </c>
      <c r="B104" s="17">
        <f>IF(ISNUMBER(B102),B7-B102,"n/a")</f>
        <v/>
      </c>
      <c r="C104" s="5" t="inlineStr">
        <is>
          <t>EUR / kg  (positive = above competitive)</t>
        </is>
      </c>
    </row>
    <row r="105">
      <c r="A105" s="9" t="inlineStr">
        <is>
          <t>Verdict</t>
        </is>
      </c>
      <c r="B105" s="9">
        <f>IF(ISNUMBER(B102),IF(B7&lt;=B102,"COMPETITIVE","NEED A LOWER PRICE"),"no room: cut margin, grow the basket, or raise tier")</f>
        <v/>
      </c>
    </row>
    <row r="107">
      <c r="A107" s="3" t="inlineStr">
        <is>
          <t>8  ·  UNITS-PER-ORDER MARGIN RESCUE   (solve-size bag, at the target margin)</t>
        </is>
      </c>
      <c r="B107" s="4" t="n"/>
      <c r="C107" s="4" t="n"/>
      <c r="D107" s="4" t="n"/>
      <c r="E107" s="4" t="n"/>
      <c r="F107" s="4" t="n"/>
    </row>
    <row r="108">
      <c r="A108" s="9" t="inlineStr">
        <is>
          <t>Units per order (N)</t>
        </is>
      </c>
      <c r="B108" s="32" t="n">
        <v>1</v>
      </c>
      <c r="C108" s="32" t="n">
        <v>2</v>
      </c>
      <c r="D108" s="32" t="n">
        <v>3</v>
      </c>
      <c r="E108" s="32" t="n">
        <v>4</v>
      </c>
    </row>
    <row r="109">
      <c r="A109" s="5" t="inlineStr">
        <is>
          <t>Fulfilment cost per bag</t>
        </is>
      </c>
      <c r="B109" s="13">
        <f>((B59-B61)/1+B61)</f>
        <v/>
      </c>
      <c r="C109" s="13">
        <f>((B59-B61)/2+B61)</f>
        <v/>
      </c>
      <c r="D109" s="13">
        <f>((B59-B61)/3+B61)</f>
        <v/>
      </c>
      <c r="E109" s="13">
        <f>((B59-B61)/4+B61)</f>
        <v/>
      </c>
    </row>
    <row r="110">
      <c r="A110" s="5" t="inlineStr">
        <is>
          <t>Matrix retail/bag, Mode 1 (constant)</t>
        </is>
      </c>
      <c r="B110" s="13">
        <f>IF($B93&gt;0,($B39*$B92/1000*$B93),"n/a")</f>
        <v/>
      </c>
      <c r="C110" s="13">
        <f>IF($B93&gt;0,($B39*$B92/1000*$B93),"n/a")</f>
        <v/>
      </c>
      <c r="D110" s="13">
        <f>IF($B93&gt;0,($B39*$B92/1000*$B93),"n/a")</f>
        <v/>
      </c>
      <c r="E110" s="13">
        <f>IF($B93&gt;0,($B39*$B92/1000*$B93),"n/a")</f>
        <v/>
      </c>
    </row>
    <row r="111">
      <c r="A111" s="5" t="inlineStr">
        <is>
          <t>GM at matrix price (burdened)</t>
        </is>
      </c>
      <c r="B111" s="38">
        <f>IF($B93&gt;0,(($B39*$B92/1000*$B93)-($B39*$B92/1000+((B59-B61)/1+B61)))/($B39*$B92/1000*$B93),"n/a")</f>
        <v/>
      </c>
      <c r="C111" s="38">
        <f>IF($B93&gt;0,(($B39*$B92/1000*$B93)-($B39*$B92/1000+((B59-B61)/2+B61)))/($B39*$B92/1000*$B93),"n/a")</f>
        <v/>
      </c>
      <c r="D111" s="38">
        <f>IF($B93&gt;0,(($B39*$B92/1000*$B93)-($B39*$B92/1000+((B59-B61)/3+B61)))/($B39*$B92/1000*$B93),"n/a")</f>
        <v/>
      </c>
      <c r="E111" s="38">
        <f>IF($B93&gt;0,(($B39*$B92/1000*$B93)-($B39*$B92/1000+((B59-B61)/4+B61)))/($B39*$B92/1000*$B93),"n/a")</f>
        <v/>
      </c>
    </row>
    <row r="112">
      <c r="A112" s="5" t="inlineStr">
        <is>
          <t>Retail/bag needed @ target GM, Mode 2</t>
        </is>
      </c>
      <c r="B112" s="13">
        <f>(($B39*$B92/1000+((B59-B61)/1+B61))/(1-$B53))</f>
        <v/>
      </c>
      <c r="C112" s="13">
        <f>(($B39*$B92/1000+((B59-B61)/2+B61))/(1-$B53))</f>
        <v/>
      </c>
      <c r="D112" s="13">
        <f>(($B39*$B92/1000+((B59-B61)/3+B61))/(1-$B53))</f>
        <v/>
      </c>
      <c r="E112" s="13">
        <f>(($B39*$B92/1000+((B59-B61)/4+B61))/(1-$B53))</f>
        <v/>
      </c>
    </row>
    <row r="113">
      <c r="A113" s="5" t="inlineStr">
        <is>
          <t>Unit price needed ($/100g), Mode 2</t>
        </is>
      </c>
      <c r="B113" s="13">
        <f>((($B39*$B92/1000+((B59-B61)/1+B61))/(1-$B53))*100/$B92)</f>
        <v/>
      </c>
      <c r="C113" s="13">
        <f>((($B39*$B92/1000+((B59-B61)/2+B61))/(1-$B53))*100/$B92)</f>
        <v/>
      </c>
      <c r="D113" s="13">
        <f>((($B39*$B92/1000+((B59-B61)/3+B61))/(1-$B53))*100/$B92)</f>
        <v/>
      </c>
      <c r="E113" s="13">
        <f>((($B39*$B92/1000+((B59-B61)/4+B61))/(1-$B53))*100/$B92)</f>
        <v/>
      </c>
    </row>
    <row r="114">
      <c r="A114" s="5" t="inlineStr">
        <is>
          <t>vs ceiling (Mode 2)</t>
        </is>
      </c>
      <c r="B114" s="32">
        <f>IF(((($B39*$B92/1000+((B59-B61)/1+B61))/(1-$B53))*100/$B92)&lt;=$B77,"WITHIN","ABOVE")</f>
        <v/>
      </c>
      <c r="C114" s="32">
        <f>IF(((($B39*$B92/1000+((B59-B61)/2+B61))/(1-$B53))*100/$B92)&lt;=$B77,"WITHIN","ABOVE")</f>
        <v/>
      </c>
      <c r="D114" s="32">
        <f>IF(((($B39*$B92/1000+((B59-B61)/3+B61))/(1-$B53))*100/$B92)&lt;=$B77,"WITHIN","ABOVE")</f>
        <v/>
      </c>
      <c r="E114" s="32">
        <f>IF(((($B39*$B92/1000+((B59-B61)/4+B61))/(1-$B53))*100/$B92)&lt;=$B77,"WITHIN","ABOVE")</f>
        <v/>
      </c>
    </row>
    <row r="115">
      <c r="A115" s="5" t="inlineStr">
        <is>
          <t>Max roaster price @ target GM, Mode 2</t>
        </is>
      </c>
      <c r="B115" s="17">
        <f>IF((((($B77*$B92/100)*(1-$B53)-((B59-B61)/1+B61))/($B92/1000))-$B38)&lt;=0,"n/a",(((($B77*$B92/100)*(1-$B53)-((B59-B61)/1+B61))/($B92/1000))-$B38)/$B9)</f>
        <v/>
      </c>
      <c r="C115" s="17">
        <f>IF((((($B77*$B92/100)*(1-$B53)-((B59-B61)/2+B61))/($B92/1000))-$B38)&lt;=0,"n/a",(((($B77*$B92/100)*(1-$B53)-((B59-B61)/2+B61))/($B92/1000))-$B38)/$B9)</f>
        <v/>
      </c>
      <c r="D115" s="17">
        <f>IF((((($B77*$B92/100)*(1-$B53)-((B59-B61)/3+B61))/($B92/1000))-$B38)&lt;=0,"n/a",(((($B77*$B92/100)*(1-$B53)-((B59-B61)/3+B61))/($B92/1000))-$B38)/$B9)</f>
        <v/>
      </c>
      <c r="E115" s="17">
        <f>IF((((($B77*$B92/100)*(1-$B53)-((B59-B61)/4+B61))/($B92/1000))-$B38)&lt;=0,"n/a",(((($B77*$B92/100)*(1-$B53)-((B59-B61)/4+B61))/($B92/1000))-$B38)/$B9)</f>
        <v/>
      </c>
      <c r="F115" s="7" t="inlineStr">
        <is>
          <t>the rescue: as baskets grow, the GM at the matrix price rises and the roaster price you can afford rises.</t>
        </is>
      </c>
    </row>
  </sheetData>
  <mergeCells count="13">
    <mergeCell ref="B105:F105"/>
    <mergeCell ref="A2:F2"/>
    <mergeCell ref="A107:F107"/>
    <mergeCell ref="A14:F14"/>
    <mergeCell ref="A66:F66"/>
    <mergeCell ref="A1:F1"/>
    <mergeCell ref="A45:F45"/>
    <mergeCell ref="A79:F79"/>
    <mergeCell ref="A4:F4"/>
    <mergeCell ref="A21:F21"/>
    <mergeCell ref="A91:F91"/>
    <mergeCell ref="A64:F64"/>
    <mergeCell ref="A43:F43"/>
  </mergeCells>
  <conditionalFormatting sqref="B88">
    <cfRule type="expression" priority="1" dxfId="0">
      <formula>AND(ISNUMBER(B84),B84&lt;=$B77)</formula>
    </cfRule>
    <cfRule type="expression" priority="2" dxfId="1">
      <formula>AND(ISNUMBER(B84),B84&gt;$B77)</formula>
    </cfRule>
  </conditionalFormatting>
  <conditionalFormatting sqref="C88">
    <cfRule type="expression" priority="3" dxfId="0">
      <formula>AND(ISNUMBER(C84),C84&lt;=$B77)</formula>
    </cfRule>
    <cfRule type="expression" priority="4" dxfId="1">
      <formula>AND(ISNUMBER(C84),C84&gt;$B77)</formula>
    </cfRule>
  </conditionalFormatting>
  <conditionalFormatting sqref="D88">
    <cfRule type="expression" priority="5" dxfId="0">
      <formula>AND(ISNUMBER(D84),D84&lt;=$B77)</formula>
    </cfRule>
    <cfRule type="expression" priority="6" dxfId="1">
      <formula>AND(ISNUMBER(D84),D84&gt;$B77)</formula>
    </cfRule>
  </conditionalFormatting>
  <conditionalFormatting sqref="E88">
    <cfRule type="expression" priority="7" dxfId="0">
      <formula>AND(ISNUMBER(E84),E84&lt;=$B77)</formula>
    </cfRule>
    <cfRule type="expression" priority="8" dxfId="1">
      <formula>AND(ISNUMBER(E84),E84&gt;$B77)</formula>
    </cfRule>
  </conditionalFormatting>
  <conditionalFormatting sqref="B89">
    <cfRule type="expression" priority="9" dxfId="2">
      <formula>B89&lt;0</formula>
    </cfRule>
  </conditionalFormatting>
  <conditionalFormatting sqref="C89">
    <cfRule type="expression" priority="10" dxfId="2">
      <formula>C89&lt;0</formula>
    </cfRule>
  </conditionalFormatting>
  <conditionalFormatting sqref="D89">
    <cfRule type="expression" priority="11" dxfId="2">
      <formula>D89&lt;0</formula>
    </cfRule>
  </conditionalFormatting>
  <conditionalFormatting sqref="E89">
    <cfRule type="expression" priority="12" dxfId="2">
      <formula>E89&lt;0</formula>
    </cfRule>
  </conditionalFormatting>
  <conditionalFormatting sqref="B105">
    <cfRule type="expression" priority="13" dxfId="0">
      <formula>AND(ISNUMBER($B102),$B7&lt;=$B102)</formula>
    </cfRule>
    <cfRule type="expression" priority="14" dxfId="1">
      <formula>OR(NOT(ISNUMBER($B102)),$B7&gt;$B102)</formula>
    </cfRule>
  </conditionalFormatting>
  <conditionalFormatting sqref="B114">
    <cfRule type="expression" priority="15" dxfId="0">
      <formula>EXACT(B114,"WITHIN")</formula>
    </cfRule>
    <cfRule type="expression" priority="16" dxfId="1">
      <formula>EXACT(B114,"ABOVE")</formula>
    </cfRule>
  </conditionalFormatting>
  <conditionalFormatting sqref="C114">
    <cfRule type="expression" priority="17" dxfId="0">
      <formula>EXACT(C114,"WITHIN")</formula>
    </cfRule>
    <cfRule type="expression" priority="18" dxfId="1">
      <formula>EXACT(C114,"ABOVE")</formula>
    </cfRule>
  </conditionalFormatting>
  <conditionalFormatting sqref="D114">
    <cfRule type="expression" priority="19" dxfId="0">
      <formula>EXACT(D114,"WITHIN")</formula>
    </cfRule>
    <cfRule type="expression" priority="20" dxfId="1">
      <formula>EXACT(D114,"ABOVE")</formula>
    </cfRule>
  </conditionalFormatting>
  <conditionalFormatting sqref="E114">
    <cfRule type="expression" priority="21" dxfId="0">
      <formula>EXACT(E114,"WITHIN")</formula>
    </cfRule>
    <cfRule type="expression" priority="22" dxfId="1">
      <formula>EXACT(E114,"ABOVE")</formula>
    </cfRule>
  </conditionalFormatting>
  <dataValidations count="5">
    <dataValidation sqref="B44" showDropDown="0" showInputMessage="0" showErrorMessage="0" allowBlank="0" type="list">
      <formula1>"1,2"</formula1>
    </dataValidation>
    <dataValidation sqref="B51" showDropDown="0" showInputMessage="0" showErrorMessage="0" allowBlank="0" type="list">
      <formula1>"1,2,3,4"</formula1>
    </dataValidation>
    <dataValidation sqref="B73" showDropDown="0" showInputMessage="0" showErrorMessage="0" allowBlank="0" type="list">
      <formula1>"1,2,3,4,5"</formula1>
    </dataValidation>
    <dataValidation sqref="B74" showDropDown="0" showInputMessage="0" showErrorMessage="0" allowBlank="0" type="list">
      <formula1>"1,2,3"</formula1>
    </dataValidation>
    <dataValidation sqref="B92" showDropDown="0" showInputMessage="0" showErrorMessage="0" allowBlank="0" type="list">
      <formula1>"100,250,500,1000"</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51"/>
  <sheetViews>
    <sheetView showGridLines="0" workbookViewId="0">
      <pane ySplit="2" topLeftCell="A3" activePane="bottomLeft" state="frozen"/>
      <selection pane="bottomLeft" activeCell="A1" sqref="A1"/>
    </sheetView>
  </sheetViews>
  <sheetFormatPr baseColWidth="8" defaultRowHeight="15"/>
  <cols>
    <col width="44" customWidth="1" min="1" max="1"/>
    <col width="15" customWidth="1" min="2" max="2"/>
    <col width="15" customWidth="1" min="3" max="3"/>
    <col width="15" customWidth="1" min="4" max="4"/>
    <col width="18" customWidth="1" min="5" max="5"/>
    <col width="42" customWidth="1" min="6" max="6"/>
  </cols>
  <sheetData>
    <row r="1">
      <c r="A1" s="41" t="inlineStr">
        <is>
          <t>Analysis (private)  ·  unit economics past landed COGS</t>
        </is>
      </c>
    </row>
    <row r="2" ht="24" customHeight="1">
      <c r="A2" s="2" t="inlineStr">
        <is>
          <t>Burdened cost and contribution before overhead (labor, taxes, systems). Private - not for the roaster. All figures provisional.</t>
        </is>
      </c>
    </row>
    <row r="4">
      <c r="A4" s="3" t="inlineStr">
        <is>
          <t>A  ·  RECORD</t>
        </is>
      </c>
      <c r="B4" s="4" t="n"/>
      <c r="C4" s="4" t="n"/>
      <c r="D4" s="4" t="n"/>
      <c r="E4" s="4" t="n"/>
      <c r="F4" s="4" t="n"/>
    </row>
    <row r="5">
      <c r="A5" s="5" t="inlineStr">
        <is>
          <t>Roaster</t>
        </is>
      </c>
      <c r="B5" s="42" t="inlineStr">
        <is>
          <t>(enter roaster)</t>
        </is>
      </c>
    </row>
    <row r="6">
      <c r="A6" s="5" t="inlineStr">
        <is>
          <t>Coffee / blend</t>
        </is>
      </c>
      <c r="B6" s="42" t="inlineStr">
        <is>
          <t>(enter coffee)</t>
        </is>
      </c>
    </row>
    <row r="7">
      <c r="A7" s="5" t="inlineStr">
        <is>
          <t>Origin / region</t>
        </is>
      </c>
      <c r="B7" s="42" t="inlineStr">
        <is>
          <t>(enter origin)</t>
        </is>
      </c>
    </row>
    <row r="8">
      <c r="A8" s="5" t="inlineStr">
        <is>
          <t>Roast level</t>
        </is>
      </c>
      <c r="B8" s="42" t="inlineStr">
        <is>
          <t>(enter roast level)</t>
        </is>
      </c>
    </row>
    <row r="9">
      <c r="A9" s="5" t="inlineStr">
        <is>
          <t>Notes</t>
        </is>
      </c>
      <c r="B9" s="42" t="inlineStr">
        <is>
          <t>(enter notes)</t>
        </is>
      </c>
    </row>
    <row r="11">
      <c r="A11" s="3" t="inlineStr">
        <is>
          <t>B  ·  FROM THE NEGOTIATION MODEL</t>
        </is>
      </c>
      <c r="B11" s="4" t="n"/>
      <c r="C11" s="4" t="n"/>
      <c r="D11" s="4" t="n"/>
      <c r="E11" s="4" t="n"/>
      <c r="F11" s="4" t="n"/>
    </row>
    <row r="12">
      <c r="A12" s="5" t="inlineStr">
        <is>
          <t>Roaster price</t>
        </is>
      </c>
      <c r="B12" s="17">
        <f>'Inputs (English)'!B7</f>
        <v/>
      </c>
      <c r="C12" s="5" t="inlineStr">
        <is>
          <t>EUR / kg</t>
        </is>
      </c>
    </row>
    <row r="13">
      <c r="A13" s="5" t="inlineStr">
        <is>
          <t>EUR to USD</t>
        </is>
      </c>
      <c r="B13" s="43">
        <f>'Inputs (English)'!B9</f>
        <v/>
      </c>
      <c r="C13" s="5" t="inlineStr">
        <is>
          <t>USD per EUR</t>
        </is>
      </c>
    </row>
    <row r="14">
      <c r="A14" s="5" t="inlineStr">
        <is>
          <t>Landed COGS</t>
        </is>
      </c>
      <c r="B14" s="26">
        <f>'Inputs (English)'!B39</f>
        <v/>
      </c>
      <c r="C14" s="5" t="inlineStr">
        <is>
          <t>USD / kg</t>
        </is>
      </c>
    </row>
    <row r="15">
      <c r="A15" s="5" t="inlineStr">
        <is>
          <t>Basket (units per order)</t>
        </is>
      </c>
      <c r="B15" s="8">
        <f>'Inputs (English)'!B60</f>
        <v/>
      </c>
      <c r="C15" s="5" t="inlineStr">
        <is>
          <t>bags / order</t>
        </is>
      </c>
    </row>
    <row r="16">
      <c r="A16" s="5" t="inlineStr">
        <is>
          <t>Shelf factors in use (set on Inputs)</t>
        </is>
      </c>
      <c r="B16" s="8">
        <f>'Inputs (English)'!B51</f>
        <v/>
      </c>
      <c r="C16" s="5" t="inlineStr">
        <is>
          <t>1 Roc 2 Sor 3 Sel 4 Bot</t>
        </is>
      </c>
    </row>
    <row r="18">
      <c r="A18" s="3" t="inlineStr">
        <is>
          <t>C  ·  FULFILMENT COGS  (per order; kit extras are SWAG)</t>
        </is>
      </c>
      <c r="B18" s="4" t="n"/>
      <c r="C18" s="4" t="n"/>
      <c r="D18" s="4" t="n"/>
      <c r="E18" s="4" t="n"/>
      <c r="F18" s="4" t="n"/>
    </row>
    <row r="19">
      <c r="A19" s="5" t="inlineStr">
        <is>
          <t>Per-order fulfilment (single bag)</t>
        </is>
      </c>
      <c r="B19" s="13">
        <f>'Inputs (English)'!B59</f>
        <v/>
      </c>
      <c r="C19" s="5" t="inlineStr">
        <is>
          <t>USD / order</t>
        </is>
      </c>
    </row>
    <row r="20">
      <c r="A20" s="5" t="inlineStr">
        <is>
          <t>Per-bag fulfilment at the basket</t>
        </is>
      </c>
      <c r="B20" s="26">
        <f>'Inputs (English)'!B62</f>
        <v/>
      </c>
      <c r="C20" s="5" t="inlineStr">
        <is>
          <t>USD / bag</t>
        </is>
      </c>
      <c r="F20" s="7" t="inlineStr">
        <is>
          <t>single bags use this (basket-amortised).</t>
        </is>
      </c>
    </row>
    <row r="21">
      <c r="A21" s="5" t="inlineStr">
        <is>
          <t>Kit box / materials</t>
        </is>
      </c>
      <c r="B21" s="36" t="n">
        <v>1.5</v>
      </c>
      <c r="C21" s="5" t="inlineStr">
        <is>
          <t>USD / kit</t>
        </is>
      </c>
      <c r="F21" s="7" t="inlineStr">
        <is>
          <t>SWAG. Sits in the 2.3 priced base and in cost.</t>
        </is>
      </c>
    </row>
    <row r="22">
      <c r="A22" s="5" t="inlineStr">
        <is>
          <t>Kit tasting card</t>
        </is>
      </c>
      <c r="B22" s="36" t="n">
        <v>0.5</v>
      </c>
      <c r="C22" s="5" t="inlineStr">
        <is>
          <t>USD / kit</t>
        </is>
      </c>
      <c r="F22" s="7" t="inlineStr">
        <is>
          <t>SWAG.</t>
        </is>
      </c>
    </row>
    <row r="23">
      <c r="A23" s="5" t="inlineStr">
        <is>
          <t>Kit assembly labor time</t>
        </is>
      </c>
      <c r="B23" s="6" t="n">
        <v>5</v>
      </c>
      <c r="C23" s="5" t="inlineStr">
        <is>
          <t>min / kit</t>
        </is>
      </c>
      <c r="F23" s="7" t="inlineStr">
        <is>
          <t>SWAG.</t>
        </is>
      </c>
    </row>
    <row r="24">
      <c r="A24" s="5" t="inlineStr">
        <is>
          <t>US labor rate</t>
        </is>
      </c>
      <c r="B24" s="36" t="n">
        <v>15</v>
      </c>
      <c r="C24" s="5" t="inlineStr">
        <is>
          <t>USD / hr</t>
        </is>
      </c>
    </row>
    <row r="25">
      <c r="A25" s="5" t="inlineStr">
        <is>
          <t>Kit assembly labor cost</t>
        </is>
      </c>
      <c r="B25" s="13">
        <f>(B23/60)*B24</f>
        <v/>
      </c>
      <c r="C25" s="5" t="inlineStr">
        <is>
          <t>USD / kit</t>
        </is>
      </c>
    </row>
    <row r="26">
      <c r="A26" s="5" t="inlineStr">
        <is>
          <t>Kit fulfilment (per kit)</t>
        </is>
      </c>
      <c r="B26" s="26">
        <f>'Inputs (English)'!B59-'Inputs (English)'!B56-'Inputs (English)'!B57+B22+B25</f>
        <v/>
      </c>
      <c r="C26" s="5" t="inlineStr">
        <is>
          <t>USD / kit</t>
        </is>
      </c>
      <c r="F26" s="7" t="inlineStr">
        <is>
          <t>per-order base, less mailer+insert, plus tasting card + assembly. Box is in the base.</t>
        </is>
      </c>
    </row>
    <row r="28">
      <c r="A28" s="3" t="inlineStr">
        <is>
          <t>D  ·  SORPRESA KIT BUILD  (3 x 100 g)</t>
        </is>
      </c>
      <c r="B28" s="4" t="n"/>
      <c r="C28" s="4" t="n"/>
      <c r="D28" s="4" t="n"/>
      <c r="E28" s="4" t="n"/>
      <c r="F28" s="4" t="n"/>
    </row>
    <row r="29">
      <c r="A29" s="5" t="inlineStr">
        <is>
          <t>3 components landed (this coffee proxy)</t>
        </is>
      </c>
      <c r="B29" s="13">
        <f>'Inputs (English)'!B39*0.3</f>
        <v/>
      </c>
      <c r="C29" s="5" t="inlineStr">
        <is>
          <t>USD / kit</t>
        </is>
      </c>
      <c r="F29" s="7" t="inlineStr">
        <is>
          <t>3 x this coffee's 100 g landed. For a real mixed kit, overwrite with the sum of 3 component costs.</t>
        </is>
      </c>
    </row>
    <row r="30">
      <c r="A30" s="5" t="inlineStr">
        <is>
          <t>Kit cost base (components + box)</t>
        </is>
      </c>
      <c r="B30" s="26">
        <f>B29+B21</f>
        <v/>
      </c>
      <c r="C30" s="5" t="inlineStr">
        <is>
          <t>USD / kit</t>
        </is>
      </c>
      <c r="F30" s="7" t="inlineStr">
        <is>
          <t>the 2.3 priced base.</t>
        </is>
      </c>
    </row>
    <row r="31">
      <c r="A31" s="5" t="inlineStr">
        <is>
          <t>Sorpresa markup factor</t>
        </is>
      </c>
      <c r="B31" s="39">
        <f>'Inputs (English)'!B48</f>
        <v/>
      </c>
      <c r="C31" s="5" t="inlineStr">
        <is>
          <t>x base</t>
        </is>
      </c>
      <c r="F31" s="7" t="inlineStr">
        <is>
          <t>from the matrix (Sorpresa 100 g). Edit on Inputs to test a higher kit markup.</t>
        </is>
      </c>
    </row>
    <row r="32">
      <c r="A32" s="5" t="inlineStr">
        <is>
          <t>Kit retail (base x factor, 2.3)</t>
        </is>
      </c>
      <c r="B32" s="26">
        <f>B30*B31</f>
        <v/>
      </c>
      <c r="C32" s="5" t="inlineStr">
        <is>
          <t>USD / kit</t>
        </is>
      </c>
    </row>
    <row r="34">
      <c r="A34" s="3" t="inlineStr">
        <is>
          <t>E  ·  CONTRIBUTION  (retail minus burdened, before overhead)</t>
        </is>
      </c>
      <c r="B34" s="4" t="n"/>
      <c r="C34" s="4" t="n"/>
      <c r="D34" s="4" t="n"/>
      <c r="E34" s="4" t="n"/>
      <c r="F34" s="4" t="n"/>
    </row>
    <row r="35">
      <c r="A35" s="5" t="inlineStr">
        <is>
          <t>Target contribution % (before overhead)</t>
        </is>
      </c>
      <c r="B35" s="35" t="n">
        <v>0.5</v>
      </c>
      <c r="C35" s="5" t="inlineStr">
        <is>
          <t>of retail</t>
        </is>
      </c>
    </row>
    <row r="36">
      <c r="A36" s="9" t="inlineStr">
        <is>
          <t>Metric</t>
        </is>
      </c>
      <c r="B36" s="44" t="inlineStr">
        <is>
          <t>250 g</t>
        </is>
      </c>
      <c r="C36" s="44" t="inlineStr">
        <is>
          <t>500 g</t>
        </is>
      </c>
      <c r="D36" s="44" t="inlineStr">
        <is>
          <t>1 kg</t>
        </is>
      </c>
      <c r="E36" s="44" t="inlineStr">
        <is>
          <t>Sorpresa kit</t>
        </is>
      </c>
    </row>
    <row r="37">
      <c r="A37" s="9" t="inlineStr">
        <is>
          <t>Retail (matrix / 2.3)</t>
        </is>
      </c>
      <c r="B37" s="45">
        <f>'Inputs (English)'!C82*'Inputs (English)'!C52</f>
        <v/>
      </c>
      <c r="C37" s="45">
        <f>'Inputs (English)'!D82*'Inputs (English)'!D52</f>
        <v/>
      </c>
      <c r="D37" s="45">
        <f>'Inputs (English)'!E82*'Inputs (English)'!E52</f>
        <v/>
      </c>
      <c r="E37" s="45">
        <f>B32</f>
        <v/>
      </c>
    </row>
    <row r="38">
      <c r="A38" s="5" t="inlineStr">
        <is>
          <t>Landed COGS (coffee)</t>
        </is>
      </c>
      <c r="B38" s="46">
        <f>'Inputs (English)'!C82</f>
        <v/>
      </c>
      <c r="C38" s="46">
        <f>'Inputs (English)'!D82</f>
        <v/>
      </c>
      <c r="D38" s="46">
        <f>'Inputs (English)'!E82</f>
        <v/>
      </c>
      <c r="E38" s="46">
        <f>B29</f>
        <v/>
      </c>
    </row>
    <row r="39">
      <c r="A39" s="5" t="inlineStr">
        <is>
          <t>Fulfilment + kitting</t>
        </is>
      </c>
      <c r="B39" s="46">
        <f>'Inputs (English)'!B62</f>
        <v/>
      </c>
      <c r="C39" s="46">
        <f>'Inputs (English)'!B62</f>
        <v/>
      </c>
      <c r="D39" s="46">
        <f>'Inputs (English)'!B62</f>
        <v/>
      </c>
      <c r="E39" s="46">
        <f>B21+B26</f>
        <v/>
      </c>
    </row>
    <row r="40">
      <c r="A40" s="9" t="inlineStr">
        <is>
          <t>Burdened cost</t>
        </is>
      </c>
      <c r="B40" s="45">
        <f>B38+B39</f>
        <v/>
      </c>
      <c r="C40" s="45">
        <f>C38+C39</f>
        <v/>
      </c>
      <c r="D40" s="45">
        <f>D38+D39</f>
        <v/>
      </c>
      <c r="E40" s="45">
        <f>E38+E39</f>
        <v/>
      </c>
    </row>
    <row r="41">
      <c r="A41" s="9" t="inlineStr">
        <is>
          <t>Contribution $</t>
        </is>
      </c>
      <c r="B41" s="45">
        <f>B37-B40</f>
        <v/>
      </c>
      <c r="C41" s="45">
        <f>C37-C40</f>
        <v/>
      </c>
      <c r="D41" s="45">
        <f>D37-D40</f>
        <v/>
      </c>
      <c r="E41" s="45">
        <f>E37-E40</f>
        <v/>
      </c>
    </row>
    <row r="42">
      <c r="A42" s="9" t="inlineStr">
        <is>
          <t>Contribution %</t>
        </is>
      </c>
      <c r="B42" s="47">
        <f>IF(B37=0,"",(B37-B40)/B37)</f>
        <v/>
      </c>
      <c r="C42" s="47">
        <f>IF(C37=0,"",(C37-C40)/C37)</f>
        <v/>
      </c>
      <c r="D42" s="47">
        <f>IF(D37=0,"",(D37-D40)/D37)</f>
        <v/>
      </c>
      <c r="E42" s="47">
        <f>IF(E37=0,"",(E37-E40)/E37)</f>
        <v/>
      </c>
      <c r="F42" s="7" t="inlineStr">
        <is>
          <t>red = negative; green = at/above target. Kit uses its own base + kitting cost.</t>
        </is>
      </c>
    </row>
    <row r="43">
      <c r="A43" s="5" t="inlineStr">
        <is>
          <t>Factor applied</t>
        </is>
      </c>
      <c r="B43" s="48">
        <f>'Inputs (English)'!C52</f>
        <v/>
      </c>
      <c r="C43" s="48">
        <f>'Inputs (English)'!D52</f>
        <v/>
      </c>
      <c r="D43" s="48">
        <f>'Inputs (English)'!E52</f>
        <v/>
      </c>
      <c r="E43" s="48">
        <f>B31</f>
        <v/>
      </c>
    </row>
    <row r="45">
      <c r="A45" s="3" t="inlineStr">
        <is>
          <t>F  ·  OVERHEAD &amp; BREAK-EVEN  (monthly)</t>
        </is>
      </c>
      <c r="B45" s="4" t="n"/>
      <c r="C45" s="4" t="n"/>
      <c r="D45" s="4" t="n"/>
      <c r="E45" s="4" t="n"/>
      <c r="F45" s="4" t="n"/>
    </row>
    <row r="46">
      <c r="A46" s="5" t="inlineStr">
        <is>
          <t>Monthly fixed overhead (labor, systems)</t>
        </is>
      </c>
      <c r="B46" s="15">
        <f>'Inputs (English)'!B63</f>
        <v/>
      </c>
      <c r="C46" s="5" t="inlineStr">
        <is>
          <t>USD / month</t>
        </is>
      </c>
      <c r="F46" s="7" t="inlineStr">
        <is>
          <t>M1 v2 ML. Income taxes excluded (on net profit, downstream).</t>
        </is>
      </c>
    </row>
    <row r="47">
      <c r="A47" s="9" t="inlineStr">
        <is>
          <t>Orders/month to cover overhead (this product alone)</t>
        </is>
      </c>
      <c r="B47" s="49">
        <f>IF(B41&gt;0,$B$46/B41,"n/a")</f>
        <v/>
      </c>
      <c r="C47" s="49">
        <f>IF(C41&gt;0,$B$46/C41,"n/a")</f>
        <v/>
      </c>
      <c r="D47" s="49">
        <f>IF(D41&gt;0,$B$46/D41,"n/a")</f>
        <v/>
      </c>
      <c r="E47" s="49">
        <f>IF(E41&gt;0,$B$46/E41,"n/a")</f>
        <v/>
      </c>
    </row>
    <row r="49">
      <c r="A49" s="3" t="inlineStr">
        <is>
          <t>G  ·  PRICE / FACTOR NEEDED FOR TARGET CONTRIBUTION</t>
        </is>
      </c>
      <c r="B49" s="4" t="n"/>
      <c r="C49" s="4" t="n"/>
      <c r="D49" s="4" t="n"/>
      <c r="E49" s="4" t="n"/>
      <c r="F49" s="4" t="n"/>
    </row>
    <row r="50">
      <c r="A50" s="9" t="inlineStr">
        <is>
          <t>Retail/unit needed @ target</t>
        </is>
      </c>
      <c r="B50" s="46">
        <f>IF($B$35&lt;1,B40/(1-$B$35),"n/a")</f>
        <v/>
      </c>
      <c r="C50" s="46">
        <f>IF($B$35&lt;1,C40/(1-$B$35),"n/a")</f>
        <v/>
      </c>
      <c r="D50" s="46">
        <f>IF($B$35&lt;1,D40/(1-$B$35),"n/a")</f>
        <v/>
      </c>
      <c r="E50" s="46">
        <f>IF($B$35&lt;1,E40/(1-$B$35),"n/a")</f>
        <v/>
      </c>
    </row>
    <row r="51">
      <c r="A51" s="9" t="inlineStr">
        <is>
          <t>Markup factor needed (x base)</t>
        </is>
      </c>
      <c r="B51" s="48">
        <f>IF(B50="n/a","n/a",B50/B38)</f>
        <v/>
      </c>
      <c r="C51" s="48">
        <f>IF(C50="n/a","n/a",C50/C38)</f>
        <v/>
      </c>
      <c r="D51" s="48">
        <f>IF(D50="n/a","n/a",D50/D38)</f>
        <v/>
      </c>
      <c r="E51" s="48">
        <f>IF(E50="n/a","n/a",E50/B30)</f>
        <v/>
      </c>
      <c r="F51" s="7" t="inlineStr">
        <is>
          <t>the factor each format needs to hit the target - compare to Store Ops 2.2 and re-set the matrix if needed.</t>
        </is>
      </c>
    </row>
  </sheetData>
  <mergeCells count="9">
    <mergeCell ref="A2:F2"/>
    <mergeCell ref="A11:F11"/>
    <mergeCell ref="A49:F49"/>
    <mergeCell ref="A28:F28"/>
    <mergeCell ref="A1:F1"/>
    <mergeCell ref="A45:F45"/>
    <mergeCell ref="A34:F34"/>
    <mergeCell ref="A18:F18"/>
    <mergeCell ref="A4:F4"/>
  </mergeCells>
  <conditionalFormatting sqref="B42">
    <cfRule type="expression" priority="1" dxfId="1">
      <formula>AND(ISNUMBER(B42),B42&lt;0)</formula>
    </cfRule>
    <cfRule type="expression" priority="2" dxfId="0">
      <formula>AND(ISNUMBER(B42),B42&gt;=$B$35)</formula>
    </cfRule>
  </conditionalFormatting>
  <conditionalFormatting sqref="C42">
    <cfRule type="expression" priority="3" dxfId="1">
      <formula>AND(ISNUMBER(C42),C42&lt;0)</formula>
    </cfRule>
    <cfRule type="expression" priority="4" dxfId="0">
      <formula>AND(ISNUMBER(C42),C42&gt;=$B$35)</formula>
    </cfRule>
  </conditionalFormatting>
  <conditionalFormatting sqref="D42">
    <cfRule type="expression" priority="5" dxfId="1">
      <formula>AND(ISNUMBER(D42),D42&lt;0)</formula>
    </cfRule>
    <cfRule type="expression" priority="6" dxfId="0">
      <formula>AND(ISNUMBER(D42),D42&gt;=$B$35)</formula>
    </cfRule>
  </conditionalFormatting>
  <conditionalFormatting sqref="E42">
    <cfRule type="expression" priority="7" dxfId="1">
      <formula>AND(ISNUMBER(E42),E42&lt;0)</formula>
    </cfRule>
    <cfRule type="expression" priority="8" dxfId="0">
      <formula>AND(ISNUMBER(E42),E42&gt;=$B$35)</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8" customWidth="1" min="3" max="3"/>
    <col width="18" customWidth="1" min="4" max="4"/>
    <col width="16" customWidth="1" min="5" max="5"/>
    <col width="14" customWidth="1" min="6" max="6"/>
    <col width="6" customWidth="1" min="7" max="7"/>
    <col width="6" customWidth="1" min="8" max="8"/>
  </cols>
  <sheetData>
    <row r="1" ht="6" customHeight="1">
      <c r="A1" s="50" t="n"/>
      <c r="B1" s="50" t="n"/>
      <c r="C1" s="51" t="n"/>
      <c r="D1" s="51" t="n"/>
      <c r="E1" s="51" t="n"/>
      <c r="F1" s="51" t="n"/>
      <c r="G1" s="52" t="n"/>
      <c r="H1" s="52" t="n"/>
    </row>
    <row r="2" ht="30" customHeight="1">
      <c r="A2" s="53" t="inlineStr">
        <is>
          <t>From your price to the American shelf</t>
        </is>
      </c>
    </row>
    <row r="3">
      <c r="A3" s="54" t="inlineStr">
        <is>
          <t>What happens to your coffee between your roastery and the American consumer's shelf.</t>
        </is>
      </c>
    </row>
    <row r="4">
      <c r="A4" s="51" t="n"/>
      <c r="B4" s="51" t="n"/>
      <c r="C4" s="51" t="n"/>
      <c r="D4" s="51" t="n"/>
      <c r="E4" s="51" t="n"/>
      <c r="F4" s="51" t="n"/>
      <c r="G4" s="51" t="n"/>
      <c r="H4" s="51" t="n"/>
    </row>
    <row r="5" ht="26" customHeight="1">
      <c r="A5" s="55" t="inlineStr">
        <is>
          <t>We do not compete with Lavazza or commercial Italian coffee. We compete with American specialty roasters, who campaign on quality and freshness. To get in, our retail price has to stay inside their band. Air freight, the forwarder, customs and the 3PL add real cost, before any markup. US duty on roasted coffee is zero: the cost that matters is the freight.</t>
        </is>
      </c>
    </row>
    <row r="6" ht="26" customHeight="1"/>
    <row r="7">
      <c r="A7" s="51" t="n"/>
      <c r="B7" s="51" t="n"/>
      <c r="C7" s="51" t="n"/>
      <c r="D7" s="51" t="n"/>
      <c r="E7" s="51" t="n"/>
      <c r="F7" s="51" t="n"/>
      <c r="G7" s="51" t="n"/>
      <c r="H7" s="51" t="n"/>
    </row>
    <row r="8">
      <c r="A8" s="56" t="inlineStr">
        <is>
          <t>Your price</t>
        </is>
      </c>
      <c r="B8" s="57">
        <f>'Inputs (English)'!B7</f>
        <v/>
      </c>
      <c r="C8" s="58" t="inlineStr">
        <is>
          <t>EUR / kg</t>
        </is>
      </c>
      <c r="D8" s="59">
        <f>'Inputs (English)'!B8</f>
        <v/>
      </c>
      <c r="E8" s="58" t="inlineStr">
        <is>
          <t>EUR / g</t>
        </is>
      </c>
      <c r="F8" s="60" t="n"/>
      <c r="G8" s="60" t="n"/>
      <c r="H8" s="60" t="n"/>
    </row>
    <row r="9">
      <c r="A9" s="51" t="n"/>
      <c r="B9" s="51" t="n"/>
      <c r="C9" s="51" t="n"/>
      <c r="D9" s="51" t="n"/>
      <c r="E9" s="51" t="n"/>
      <c r="F9" s="51" t="n"/>
      <c r="G9" s="51" t="n"/>
      <c r="H9" s="51" t="n"/>
    </row>
    <row r="10">
      <c r="A10" s="61" t="inlineStr">
        <is>
          <t>The cost path, by size</t>
        </is>
      </c>
      <c r="B10" s="51" t="n"/>
      <c r="C10" s="51" t="n"/>
      <c r="D10" s="51" t="n"/>
      <c r="E10" s="51" t="n"/>
      <c r="F10" s="51" t="n"/>
      <c r="G10" s="51" t="n"/>
      <c r="H10" s="51" t="n"/>
    </row>
    <row r="11" ht="30" customHeight="1">
      <c r="A11" s="62" t="inlineStr">
        <is>
          <t>Size</t>
        </is>
      </c>
      <c r="B11" s="62" t="inlineStr">
        <is>
          <t>Your coffee cost</t>
        </is>
      </c>
      <c r="C11" s="62" t="inlineStr">
        <is>
          <t>Landed in the USA</t>
        </is>
      </c>
      <c r="D11" s="62" t="inlineStr">
        <is>
          <t>Retail price</t>
        </is>
      </c>
      <c r="E11" s="62" t="inlineStr">
        <is>
          <t>Unit price</t>
        </is>
      </c>
      <c r="F11" s="51" t="n"/>
      <c r="G11" s="51" t="n"/>
      <c r="H11" s="51" t="n"/>
    </row>
    <row r="12">
      <c r="A12" s="63" t="inlineStr"/>
      <c r="B12" s="64" t="inlineStr">
        <is>
          <t>USD / bag</t>
        </is>
      </c>
      <c r="C12" s="64" t="inlineStr">
        <is>
          <t>USD / bag</t>
        </is>
      </c>
      <c r="D12" s="64" t="inlineStr">
        <is>
          <t>USD / bag</t>
        </is>
      </c>
      <c r="E12" s="64" t="inlineStr">
        <is>
          <t>USD / 100 g</t>
        </is>
      </c>
      <c r="F12" s="51" t="n"/>
      <c r="G12" s="51" t="n"/>
      <c r="H12" s="51" t="n"/>
    </row>
    <row r="13">
      <c r="A13" s="65" t="inlineStr">
        <is>
          <t>100 g  (3.5 oz)</t>
        </is>
      </c>
      <c r="B13" s="66">
        <f>'Inputs (English)'!B81</f>
        <v/>
      </c>
      <c r="C13" s="66">
        <f>'Inputs (English)'!B82</f>
        <v/>
      </c>
      <c r="D13" s="67">
        <f>'Inputs (English)'!B83</f>
        <v/>
      </c>
      <c r="E13" s="66">
        <f>'Inputs (English)'!B84</f>
        <v/>
      </c>
      <c r="F13" s="51" t="n"/>
      <c r="G13" s="51" t="n"/>
      <c r="H13" s="51" t="n"/>
    </row>
    <row r="14">
      <c r="A14" s="65" t="inlineStr">
        <is>
          <t>250 g  (8.8 oz)</t>
        </is>
      </c>
      <c r="B14" s="66">
        <f>'Inputs (English)'!C81</f>
        <v/>
      </c>
      <c r="C14" s="66">
        <f>'Inputs (English)'!C82</f>
        <v/>
      </c>
      <c r="D14" s="67">
        <f>'Inputs (English)'!C83</f>
        <v/>
      </c>
      <c r="E14" s="66">
        <f>'Inputs (English)'!C84</f>
        <v/>
      </c>
      <c r="F14" s="51" t="n"/>
      <c r="G14" s="51" t="n"/>
      <c r="H14" s="51" t="n"/>
    </row>
    <row r="15">
      <c r="A15" s="65" t="inlineStr">
        <is>
          <t>500 g  (17.6 oz)</t>
        </is>
      </c>
      <c r="B15" s="66">
        <f>'Inputs (English)'!D81</f>
        <v/>
      </c>
      <c r="C15" s="66">
        <f>'Inputs (English)'!D82</f>
        <v/>
      </c>
      <c r="D15" s="67">
        <f>'Inputs (English)'!D83</f>
        <v/>
      </c>
      <c r="E15" s="66">
        <f>'Inputs (English)'!D84</f>
        <v/>
      </c>
      <c r="F15" s="51" t="n"/>
      <c r="G15" s="51" t="n"/>
      <c r="H15" s="51" t="n"/>
    </row>
    <row r="16">
      <c r="A16" s="65" t="inlineStr">
        <is>
          <t>1 kg  (2.2 lb)</t>
        </is>
      </c>
      <c r="B16" s="66">
        <f>'Inputs (English)'!E81</f>
        <v/>
      </c>
      <c r="C16" s="66">
        <f>'Inputs (English)'!E82</f>
        <v/>
      </c>
      <c r="D16" s="67">
        <f>'Inputs (English)'!E83</f>
        <v/>
      </c>
      <c r="E16" s="66">
        <f>'Inputs (English)'!E84</f>
        <v/>
      </c>
      <c r="F16" s="51" t="n"/>
      <c r="G16" s="51" t="n"/>
      <c r="H16" s="51" t="n"/>
    </row>
    <row r="17">
      <c r="A17" s="51" t="n"/>
      <c r="B17" s="51" t="n"/>
      <c r="C17" s="51" t="n"/>
      <c r="D17" s="51" t="n"/>
      <c r="E17" s="51" t="n"/>
      <c r="F17" s="51" t="n"/>
      <c r="G17" s="51" t="n"/>
      <c r="H17" s="51" t="n"/>
    </row>
    <row r="18">
      <c r="A18" s="61" t="inlineStr">
        <is>
          <t>The American specialty shelf, by size</t>
        </is>
      </c>
      <c r="B18" s="51" t="n"/>
      <c r="C18" s="51" t="n"/>
      <c r="D18" s="51" t="n"/>
      <c r="E18" s="51" t="n"/>
      <c r="F18" s="51" t="n"/>
      <c r="G18" s="51" t="n"/>
      <c r="H18" s="51" t="n"/>
    </row>
    <row r="19" ht="28" customHeight="1">
      <c r="A19" s="62" t="inlineStr">
        <is>
          <t>Size</t>
        </is>
      </c>
      <c r="B19" s="62" t="inlineStr">
        <is>
          <t>Our price</t>
        </is>
      </c>
      <c r="C19" s="62" t="inlineStr">
        <is>
          <t>US specialty shelf</t>
        </is>
      </c>
      <c r="D19" s="62" t="inlineStr">
        <is>
          <t>Source</t>
        </is>
      </c>
      <c r="E19" s="51" t="n"/>
      <c r="F19" s="51" t="n"/>
      <c r="G19" s="51" t="n"/>
      <c r="H19" s="51" t="n"/>
    </row>
    <row r="20">
      <c r="A20" s="65" t="inlineStr">
        <is>
          <t>250 g single origin</t>
        </is>
      </c>
      <c r="B20" s="67">
        <f>'Inputs (English)'!$C$83</f>
        <v/>
      </c>
      <c r="C20" s="68">
        <f>TEXT('Inputs (English)'!B70*2.5,"$0")&amp;" - "&amp;TEXT('Inputs (English)'!C70*2.5,"$0")</f>
        <v/>
      </c>
      <c r="D20" s="69" t="inlineStr">
        <is>
          <t>Proud Mary, Sey, Passenger</t>
        </is>
      </c>
      <c r="E20" s="51" t="n"/>
      <c r="F20" s="51" t="n"/>
      <c r="G20" s="51" t="n"/>
      <c r="H20" s="51" t="n"/>
    </row>
    <row r="21">
      <c r="A21" s="65" t="inlineStr">
        <is>
          <t>1 kg</t>
        </is>
      </c>
      <c r="B21" s="67">
        <f>'Inputs (English)'!$E$83</f>
        <v/>
      </c>
      <c r="C21" s="68">
        <f>TEXT('Inputs (English)'!B71*10,"$0")&amp;" - "&amp;TEXT('Inputs (English)'!C71*10,"$0")</f>
        <v/>
      </c>
      <c r="D21" s="69" t="inlineStr">
        <is>
          <t>Verve (2.2 lb)</t>
        </is>
      </c>
      <c r="E21" s="51" t="n"/>
      <c r="F21" s="51" t="n"/>
      <c r="G21" s="51" t="n"/>
      <c r="H21" s="51" t="n"/>
    </row>
    <row r="22">
      <c r="A22" s="70">
        <f>"Context (not our shelf): commercial Italian coffee in the USA sells at "&amp;TEXT('Inputs (English)'!B72,"$0.00")&amp;" - "&amp;TEXT('Inputs (English)'!C72,"$0.00")&amp;" / 100 g, with no roast date."</f>
        <v/>
      </c>
    </row>
    <row r="23">
      <c r="A23" s="51" t="n"/>
      <c r="B23" s="51" t="n"/>
      <c r="C23" s="51" t="n"/>
      <c r="D23" s="51" t="n"/>
      <c r="E23" s="51" t="n"/>
      <c r="F23" s="51" t="n"/>
      <c r="G23" s="51" t="n"/>
      <c r="H23" s="51" t="n"/>
    </row>
    <row r="24" ht="24" customHeight="1">
      <c r="A24" s="71" t="inlineStr">
        <is>
          <t>To stay competitive on the American shelf, the price should be at or below:</t>
        </is>
      </c>
    </row>
    <row r="25" ht="34" customHeight="1">
      <c r="A25" s="61" t="inlineStr">
        <is>
          <t>Target price</t>
        </is>
      </c>
      <c r="B25" s="72">
        <f>'Inputs (English)'!B102</f>
        <v/>
      </c>
      <c r="C25" s="73" t="inlineStr">
        <is>
          <t>EUR / kg</t>
        </is>
      </c>
      <c r="D25" s="51" t="n"/>
      <c r="E25" s="51" t="n"/>
      <c r="F25" s="51" t="n"/>
      <c r="G25" s="51" t="n"/>
      <c r="H25" s="51" t="n"/>
    </row>
    <row r="26">
      <c r="A26" s="63" t="inlineStr">
        <is>
          <t>Current price</t>
        </is>
      </c>
      <c r="B26" s="74">
        <f>'Inputs (English)'!B7</f>
        <v/>
      </c>
      <c r="C26" s="75" t="inlineStr">
        <is>
          <t>EUR / kg</t>
        </is>
      </c>
      <c r="D26" s="51" t="n"/>
      <c r="E26" s="51" t="n"/>
      <c r="F26" s="51" t="n"/>
      <c r="G26" s="51" t="n"/>
      <c r="H26" s="51" t="n"/>
    </row>
    <row r="27">
      <c r="A27" s="76" t="inlineStr">
        <is>
          <t>Verdict</t>
        </is>
      </c>
      <c r="B27" s="77">
        <f>IF(ISNUMBER('Inputs (English)'!B102),IF('Inputs (English)'!B7&lt;='Inputs (English)'!B102,"COMPETITIVE","NEEDS A LOWER PRICE"),"no room")</f>
        <v/>
      </c>
      <c r="E27" s="51" t="n"/>
      <c r="F27" s="51" t="n"/>
      <c r="G27" s="51" t="n"/>
      <c r="H27" s="51" t="n"/>
    </row>
    <row r="28">
      <c r="A28" s="51" t="n"/>
      <c r="B28" s="51" t="n"/>
      <c r="C28" s="51" t="n"/>
      <c r="D28" s="51" t="n"/>
      <c r="E28" s="51" t="n"/>
      <c r="F28" s="51" t="n"/>
      <c r="G28" s="51" t="n"/>
      <c r="H28" s="51" t="n"/>
    </row>
    <row r="29">
      <c r="A29" s="78" t="inlineStr">
        <is>
          <t>US duty on roasted coffee: 0% (no duty, no quota).</t>
        </is>
      </c>
      <c r="B29" s="51" t="n"/>
      <c r="C29" s="51" t="n"/>
      <c r="D29" s="51" t="n"/>
      <c r="E29" s="51" t="n"/>
      <c r="F29" s="51" t="n"/>
      <c r="G29" s="51" t="n"/>
      <c r="H29" s="51" t="n"/>
    </row>
    <row r="30">
      <c r="A30" s="79" t="inlineStr">
        <is>
          <t>EUR/USD rate used:</t>
        </is>
      </c>
      <c r="B30" s="80">
        <f>'Inputs (English)'!B9</f>
        <v/>
      </c>
      <c r="C30" s="51" t="n"/>
      <c r="D30" s="51" t="n"/>
      <c r="E30" s="51" t="n"/>
      <c r="F30" s="51" t="n"/>
      <c r="G30" s="51" t="n"/>
      <c r="H30" s="51" t="n"/>
    </row>
    <row r="31">
      <c r="A31" s="79">
        <f>"Assumes about "&amp;TEXT('Inputs (English)'!B60,"0")&amp;" bags per order."</f>
        <v/>
      </c>
      <c r="B31" s="51" t="n"/>
      <c r="C31" s="51" t="n"/>
      <c r="D31" s="51" t="n"/>
      <c r="E31" s="51" t="n"/>
      <c r="F31" s="51" t="n"/>
      <c r="G31" s="51" t="n"/>
      <c r="H31" s="51" t="n"/>
    </row>
    <row r="32">
      <c r="A32" s="79" t="inlineStr">
        <is>
          <t>Provisional model figures. Metric and US customary shown together.</t>
        </is>
      </c>
      <c r="B32" s="51" t="n"/>
      <c r="C32" s="51" t="n"/>
      <c r="D32" s="51" t="n"/>
      <c r="E32" s="51" t="n"/>
      <c r="F32" s="51" t="n"/>
      <c r="G32" s="51" t="n"/>
      <c r="H32" s="51" t="n"/>
    </row>
    <row r="33">
      <c r="A33" s="51" t="n"/>
      <c r="B33" s="51" t="n"/>
      <c r="C33" s="51" t="n"/>
      <c r="D33" s="51" t="n"/>
      <c r="E33" s="51" t="n"/>
      <c r="F33" s="51" t="n"/>
      <c r="G33" s="51" t="n"/>
      <c r="H33" s="51" t="n"/>
    </row>
    <row r="34">
      <c r="A34" s="81" t="inlineStr">
        <is>
          <t>Crema Italia, LLC  ·  Lutz, Florida, USA  ·  cremaitalia.com</t>
        </is>
      </c>
    </row>
    <row r="35">
      <c r="A35" s="51" t="n"/>
      <c r="B35" s="51" t="n"/>
      <c r="C35" s="51" t="n"/>
      <c r="D35" s="51" t="n"/>
      <c r="E35" s="51" t="n"/>
      <c r="F35" s="51" t="n"/>
      <c r="G35" s="51" t="n"/>
      <c r="H35" s="51" t="n"/>
    </row>
    <row r="36">
      <c r="A36" s="51" t="n"/>
      <c r="B36" s="51" t="n"/>
      <c r="C36" s="51" t="n"/>
      <c r="D36" s="51" t="n"/>
      <c r="E36" s="51" t="n"/>
      <c r="F36" s="51" t="n"/>
      <c r="G36" s="51" t="n"/>
      <c r="H36" s="51" t="n"/>
    </row>
    <row r="37">
      <c r="A37" s="51" t="n"/>
      <c r="B37" s="51" t="n"/>
      <c r="C37" s="51" t="n"/>
      <c r="D37" s="51" t="n"/>
      <c r="E37" s="51" t="n"/>
      <c r="F37" s="51" t="n"/>
      <c r="G37" s="51" t="n"/>
      <c r="H37" s="51" t="n"/>
    </row>
    <row r="38">
      <c r="A38" s="51" t="n"/>
      <c r="B38" s="51" t="n"/>
      <c r="C38" s="51" t="n"/>
      <c r="D38" s="51" t="n"/>
      <c r="E38" s="51" t="n"/>
      <c r="F38" s="51" t="n"/>
      <c r="G38" s="51" t="n"/>
      <c r="H38" s="51" t="n"/>
    </row>
    <row r="39">
      <c r="A39" s="51" t="n"/>
      <c r="B39" s="51" t="n"/>
      <c r="C39" s="51" t="n"/>
      <c r="D39" s="51" t="n"/>
      <c r="E39" s="51" t="n"/>
      <c r="F39" s="51" t="n"/>
      <c r="G39" s="51" t="n"/>
      <c r="H39" s="51" t="n"/>
    </row>
    <row r="40">
      <c r="A40" s="51" t="n"/>
      <c r="B40" s="51" t="n"/>
      <c r="C40" s="51" t="n"/>
      <c r="D40" s="51" t="n"/>
      <c r="E40" s="51" t="n"/>
      <c r="F40" s="51" t="n"/>
      <c r="G40" s="51" t="n"/>
      <c r="H40" s="51" t="n"/>
    </row>
    <row r="41">
      <c r="A41" s="51" t="n"/>
      <c r="B41" s="51" t="n"/>
      <c r="C41" s="51" t="n"/>
      <c r="D41" s="51" t="n"/>
      <c r="E41" s="51" t="n"/>
      <c r="F41" s="51" t="n"/>
      <c r="G41" s="51" t="n"/>
      <c r="H41" s="51" t="n"/>
    </row>
  </sheetData>
  <mergeCells count="7">
    <mergeCell ref="A3:H3"/>
    <mergeCell ref="A24:H24"/>
    <mergeCell ref="A2:H2"/>
    <mergeCell ref="B27:D27"/>
    <mergeCell ref="A5:H6"/>
    <mergeCell ref="A22:H22"/>
    <mergeCell ref="A34:H34"/>
  </mergeCells>
  <conditionalFormatting sqref="B27">
    <cfRule type="expression" priority="1" dxfId="0">
      <formula>AND(ISNUMBER('Inputs (English)'!B102),'Inputs (English)'!B7&lt;='Inputs (English)'!B102)</formula>
    </cfRule>
    <cfRule type="expression" priority="2" dxfId="1">
      <formula>OR(NOT(ISNUMBER('Inputs (English)'!B102)),'Inputs (English)'!B7&gt;'Inputs (English)'!B102)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1"/>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18" customWidth="1" min="3" max="3"/>
    <col width="18" customWidth="1" min="4" max="4"/>
    <col width="16" customWidth="1" min="5" max="5"/>
    <col width="14" customWidth="1" min="6" max="6"/>
    <col width="6" customWidth="1" min="7" max="7"/>
    <col width="6" customWidth="1" min="8" max="8"/>
  </cols>
  <sheetData>
    <row r="1" ht="6" customHeight="1">
      <c r="A1" s="50" t="n"/>
      <c r="B1" s="50" t="n"/>
      <c r="C1" s="51" t="n"/>
      <c r="D1" s="51" t="n"/>
      <c r="E1" s="51" t="n"/>
      <c r="F1" s="51" t="n"/>
      <c r="G1" s="52" t="n"/>
      <c r="H1" s="52" t="n"/>
    </row>
    <row r="2" ht="30" customHeight="1">
      <c r="A2" s="53" t="inlineStr">
        <is>
          <t>Dal vostro prezzo allo scaffale americano</t>
        </is>
      </c>
    </row>
    <row r="3">
      <c r="A3" s="54" t="inlineStr">
        <is>
          <t>Cosa succede al vostro caffè tra la vostra torrefazione e lo scaffale del consumatore americano.</t>
        </is>
      </c>
    </row>
    <row r="4">
      <c r="A4" s="51" t="n"/>
      <c r="B4" s="51" t="n"/>
      <c r="C4" s="51" t="n"/>
      <c r="D4" s="51" t="n"/>
      <c r="E4" s="51" t="n"/>
      <c r="F4" s="51" t="n"/>
      <c r="G4" s="51" t="n"/>
      <c r="H4" s="51" t="n"/>
    </row>
    <row r="5" ht="26" customHeight="1">
      <c r="A5" s="55" t="inlineStr">
        <is>
          <t>Non competiamo con Lavazza o con il caffè commerciale italiano. Competiamo con le torrefazioni specialty americane, che campagnano su qualità e freschezza. Per entrare, il nostro prezzo al dettaglio deve restare dentro la loro fascia. Trasporto aereo, spedizioniere, dogana e 3PL aggiungono un costo reale, prima del ricarico. Il dazio USA sul caffè tostato è zero: il costo che conta è il trasporto.</t>
        </is>
      </c>
    </row>
    <row r="6" ht="26" customHeight="1"/>
    <row r="7">
      <c r="A7" s="51" t="n"/>
      <c r="B7" s="51" t="n"/>
      <c r="C7" s="51" t="n"/>
      <c r="D7" s="51" t="n"/>
      <c r="E7" s="51" t="n"/>
      <c r="F7" s="51" t="n"/>
      <c r="G7" s="51" t="n"/>
      <c r="H7" s="51" t="n"/>
    </row>
    <row r="8">
      <c r="A8" s="56" t="inlineStr">
        <is>
          <t>Il vostro prezzo</t>
        </is>
      </c>
      <c r="B8" s="57">
        <f>'Inputs (English)'!B7</f>
        <v/>
      </c>
      <c r="C8" s="58" t="inlineStr">
        <is>
          <t>EUR / kg</t>
        </is>
      </c>
      <c r="D8" s="59">
        <f>'Inputs (English)'!B8</f>
        <v/>
      </c>
      <c r="E8" s="58" t="inlineStr">
        <is>
          <t>EUR / g</t>
        </is>
      </c>
      <c r="F8" s="60" t="n"/>
      <c r="G8" s="60" t="n"/>
      <c r="H8" s="60" t="n"/>
    </row>
    <row r="9">
      <c r="A9" s="51" t="n"/>
      <c r="B9" s="51" t="n"/>
      <c r="C9" s="51" t="n"/>
      <c r="D9" s="51" t="n"/>
      <c r="E9" s="51" t="n"/>
      <c r="F9" s="51" t="n"/>
      <c r="G9" s="51" t="n"/>
      <c r="H9" s="51" t="n"/>
    </row>
    <row r="10">
      <c r="A10" s="61" t="inlineStr">
        <is>
          <t>Il percorso del costo, per formato</t>
        </is>
      </c>
      <c r="B10" s="51" t="n"/>
      <c r="C10" s="51" t="n"/>
      <c r="D10" s="51" t="n"/>
      <c r="E10" s="51" t="n"/>
      <c r="F10" s="51" t="n"/>
      <c r="G10" s="51" t="n"/>
      <c r="H10" s="51" t="n"/>
    </row>
    <row r="11" ht="30" customHeight="1">
      <c r="A11" s="62" t="inlineStr">
        <is>
          <t>Formato</t>
        </is>
      </c>
      <c r="B11" s="62" t="inlineStr">
        <is>
          <t>Vostro costo caffè</t>
        </is>
      </c>
      <c r="C11" s="62" t="inlineStr">
        <is>
          <t>Sbarcato in USA</t>
        </is>
      </c>
      <c r="D11" s="62" t="inlineStr">
        <is>
          <t>Prezzo al dettaglio</t>
        </is>
      </c>
      <c r="E11" s="62" t="inlineStr">
        <is>
          <t>Prezzo unitario</t>
        </is>
      </c>
      <c r="F11" s="51" t="n"/>
      <c r="G11" s="51" t="n"/>
      <c r="H11" s="51" t="n"/>
    </row>
    <row r="12">
      <c r="A12" s="63" t="inlineStr"/>
      <c r="B12" s="64" t="inlineStr">
        <is>
          <t>USD / conf.</t>
        </is>
      </c>
      <c r="C12" s="64" t="inlineStr">
        <is>
          <t>USD / conf.</t>
        </is>
      </c>
      <c r="D12" s="64" t="inlineStr">
        <is>
          <t>USD / conf.</t>
        </is>
      </c>
      <c r="E12" s="64" t="inlineStr">
        <is>
          <t>USD / 100 g</t>
        </is>
      </c>
      <c r="F12" s="51" t="n"/>
      <c r="G12" s="51" t="n"/>
      <c r="H12" s="51" t="n"/>
    </row>
    <row r="13">
      <c r="A13" s="65" t="inlineStr">
        <is>
          <t>100 g  (3.5 oz)</t>
        </is>
      </c>
      <c r="B13" s="66">
        <f>'Inputs (English)'!B81</f>
        <v/>
      </c>
      <c r="C13" s="66">
        <f>'Inputs (English)'!B82</f>
        <v/>
      </c>
      <c r="D13" s="67">
        <f>'Inputs (English)'!B83</f>
        <v/>
      </c>
      <c r="E13" s="66">
        <f>'Inputs (English)'!B84</f>
        <v/>
      </c>
      <c r="F13" s="51" t="n"/>
      <c r="G13" s="51" t="n"/>
      <c r="H13" s="51" t="n"/>
    </row>
    <row r="14">
      <c r="A14" s="65" t="inlineStr">
        <is>
          <t>250 g  (8.8 oz)</t>
        </is>
      </c>
      <c r="B14" s="66">
        <f>'Inputs (English)'!C81</f>
        <v/>
      </c>
      <c r="C14" s="66">
        <f>'Inputs (English)'!C82</f>
        <v/>
      </c>
      <c r="D14" s="67">
        <f>'Inputs (English)'!C83</f>
        <v/>
      </c>
      <c r="E14" s="66">
        <f>'Inputs (English)'!C84</f>
        <v/>
      </c>
      <c r="F14" s="51" t="n"/>
      <c r="G14" s="51" t="n"/>
      <c r="H14" s="51" t="n"/>
    </row>
    <row r="15">
      <c r="A15" s="65" t="inlineStr">
        <is>
          <t>500 g  (17.6 oz)</t>
        </is>
      </c>
      <c r="B15" s="66">
        <f>'Inputs (English)'!D81</f>
        <v/>
      </c>
      <c r="C15" s="66">
        <f>'Inputs (English)'!D82</f>
        <v/>
      </c>
      <c r="D15" s="67">
        <f>'Inputs (English)'!D83</f>
        <v/>
      </c>
      <c r="E15" s="66">
        <f>'Inputs (English)'!D84</f>
        <v/>
      </c>
      <c r="F15" s="51" t="n"/>
      <c r="G15" s="51" t="n"/>
      <c r="H15" s="51" t="n"/>
    </row>
    <row r="16">
      <c r="A16" s="65" t="inlineStr">
        <is>
          <t>1 kg  (2.2 lb)</t>
        </is>
      </c>
      <c r="B16" s="66">
        <f>'Inputs (English)'!E81</f>
        <v/>
      </c>
      <c r="C16" s="66">
        <f>'Inputs (English)'!E82</f>
        <v/>
      </c>
      <c r="D16" s="67">
        <f>'Inputs (English)'!E83</f>
        <v/>
      </c>
      <c r="E16" s="66">
        <f>'Inputs (English)'!E84</f>
        <v/>
      </c>
      <c r="F16" s="51" t="n"/>
      <c r="G16" s="51" t="n"/>
      <c r="H16" s="51" t="n"/>
    </row>
    <row r="17">
      <c r="A17" s="51" t="n"/>
      <c r="B17" s="51" t="n"/>
      <c r="C17" s="51" t="n"/>
      <c r="D17" s="51" t="n"/>
      <c r="E17" s="51" t="n"/>
      <c r="F17" s="51" t="n"/>
      <c r="G17" s="51" t="n"/>
      <c r="H17" s="51" t="n"/>
    </row>
    <row r="18">
      <c r="A18" s="61" t="inlineStr">
        <is>
          <t>Lo scaffale americano specialty, per formato</t>
        </is>
      </c>
      <c r="B18" s="51" t="n"/>
      <c r="C18" s="51" t="n"/>
      <c r="D18" s="51" t="n"/>
      <c r="E18" s="51" t="n"/>
      <c r="F18" s="51" t="n"/>
      <c r="G18" s="51" t="n"/>
      <c r="H18" s="51" t="n"/>
    </row>
    <row r="19" ht="28" customHeight="1">
      <c r="A19" s="62" t="inlineStr">
        <is>
          <t>Formato</t>
        </is>
      </c>
      <c r="B19" s="62" t="inlineStr">
        <is>
          <t>Il nostro prezzo</t>
        </is>
      </c>
      <c r="C19" s="62" t="inlineStr">
        <is>
          <t>Scaffale USA specialty</t>
        </is>
      </c>
      <c r="D19" s="62" t="inlineStr">
        <is>
          <t>Fonte</t>
        </is>
      </c>
      <c r="E19" s="51" t="n"/>
      <c r="F19" s="51" t="n"/>
      <c r="G19" s="51" t="n"/>
      <c r="H19" s="51" t="n"/>
    </row>
    <row r="20">
      <c r="A20" s="65" t="inlineStr">
        <is>
          <t>250 g monorigine</t>
        </is>
      </c>
      <c r="B20" s="67">
        <f>'Inputs (English)'!$C$83</f>
        <v/>
      </c>
      <c r="C20" s="68">
        <f>TEXT('Inputs (English)'!B70*2.5,"$0")&amp;" - "&amp;TEXT('Inputs (English)'!C70*2.5,"$0")</f>
        <v/>
      </c>
      <c r="D20" s="69" t="inlineStr">
        <is>
          <t>Proud Mary, Sey, Passenger</t>
        </is>
      </c>
      <c r="E20" s="51" t="n"/>
      <c r="F20" s="51" t="n"/>
      <c r="G20" s="51" t="n"/>
      <c r="H20" s="51" t="n"/>
    </row>
    <row r="21">
      <c r="A21" s="65" t="inlineStr">
        <is>
          <t>1 kg</t>
        </is>
      </c>
      <c r="B21" s="67">
        <f>'Inputs (English)'!$E$83</f>
        <v/>
      </c>
      <c r="C21" s="68">
        <f>TEXT('Inputs (English)'!B71*10,"$0")&amp;" - "&amp;TEXT('Inputs (English)'!C71*10,"$0")</f>
        <v/>
      </c>
      <c r="D21" s="69" t="inlineStr">
        <is>
          <t>Verve (2.2 lb)</t>
        </is>
      </c>
      <c r="E21" s="51" t="n"/>
      <c r="F21" s="51" t="n"/>
      <c r="G21" s="51" t="n"/>
      <c r="H21" s="51" t="n"/>
    </row>
    <row r="22">
      <c r="A22" s="70">
        <f>"Contesto (non il nostro scaffale): il caffè commerciale italiano negli USA vende a "&amp;TEXT('Inputs (English)'!B72,"$0.00")&amp;" - "&amp;TEXT('Inputs (English)'!C72,"$0.00")&amp;" / 100 g, senza data di tostatura."</f>
        <v/>
      </c>
    </row>
    <row r="23">
      <c r="A23" s="51" t="n"/>
      <c r="B23" s="51" t="n"/>
      <c r="C23" s="51" t="n"/>
      <c r="D23" s="51" t="n"/>
      <c r="E23" s="51" t="n"/>
      <c r="F23" s="51" t="n"/>
      <c r="G23" s="51" t="n"/>
      <c r="H23" s="51" t="n"/>
    </row>
    <row r="24" ht="24" customHeight="1">
      <c r="A24" s="71" t="inlineStr">
        <is>
          <t>Per restare competitivi sullo scaffale americano, il prezzo dovrebbe essere pari o inferiore a:</t>
        </is>
      </c>
    </row>
    <row r="25" ht="34" customHeight="1">
      <c r="A25" s="61" t="inlineStr">
        <is>
          <t>Prezzo obiettivo</t>
        </is>
      </c>
      <c r="B25" s="72">
        <f>'Inputs (English)'!B102</f>
        <v/>
      </c>
      <c r="C25" s="73" t="inlineStr">
        <is>
          <t>EUR / kg</t>
        </is>
      </c>
      <c r="D25" s="51" t="n"/>
      <c r="E25" s="51" t="n"/>
      <c r="F25" s="51" t="n"/>
      <c r="G25" s="51" t="n"/>
      <c r="H25" s="51" t="n"/>
    </row>
    <row r="26">
      <c r="A26" s="63" t="inlineStr">
        <is>
          <t>Prezzo attuale</t>
        </is>
      </c>
      <c r="B26" s="74">
        <f>'Inputs (English)'!B7</f>
        <v/>
      </c>
      <c r="C26" s="75" t="inlineStr">
        <is>
          <t>EUR / kg</t>
        </is>
      </c>
      <c r="D26" s="51" t="n"/>
      <c r="E26" s="51" t="n"/>
      <c r="F26" s="51" t="n"/>
      <c r="G26" s="51" t="n"/>
      <c r="H26" s="51" t="n"/>
    </row>
    <row r="27">
      <c r="A27" s="76" t="inlineStr">
        <is>
          <t>Verdetto</t>
        </is>
      </c>
      <c r="B27" s="77">
        <f>IF(ISNUMBER('Inputs (English)'!B102),IF('Inputs (English)'!B7&lt;='Inputs (English)'!B102,"COMPETITIVO","SERVE UN PREZZO PIÙ BASSO"),"nessun margine")</f>
        <v/>
      </c>
      <c r="E27" s="51" t="n"/>
      <c r="F27" s="51" t="n"/>
      <c r="G27" s="51" t="n"/>
      <c r="H27" s="51" t="n"/>
    </row>
    <row r="28">
      <c r="A28" s="51" t="n"/>
      <c r="B28" s="51" t="n"/>
      <c r="C28" s="51" t="n"/>
      <c r="D28" s="51" t="n"/>
      <c r="E28" s="51" t="n"/>
      <c r="F28" s="51" t="n"/>
      <c r="G28" s="51" t="n"/>
      <c r="H28" s="51" t="n"/>
    </row>
    <row r="29">
      <c r="A29" s="78" t="inlineStr">
        <is>
          <t>Dazio USA sul caffè tostato: 0% (nessun dazio, nessuna quota).</t>
        </is>
      </c>
      <c r="B29" s="51" t="n"/>
      <c r="C29" s="51" t="n"/>
      <c r="D29" s="51" t="n"/>
      <c r="E29" s="51" t="n"/>
      <c r="F29" s="51" t="n"/>
      <c r="G29" s="51" t="n"/>
      <c r="H29" s="51" t="n"/>
    </row>
    <row r="30">
      <c r="A30" s="79" t="inlineStr">
        <is>
          <t>Cambio EUR/USD usato:</t>
        </is>
      </c>
      <c r="B30" s="80">
        <f>'Inputs (English)'!B9</f>
        <v/>
      </c>
      <c r="C30" s="51" t="n"/>
      <c r="D30" s="51" t="n"/>
      <c r="E30" s="51" t="n"/>
      <c r="F30" s="51" t="n"/>
      <c r="G30" s="51" t="n"/>
      <c r="H30" s="51" t="n"/>
    </row>
    <row r="31">
      <c r="A31" s="79">
        <f>"Ipotesi: circa "&amp;TEXT('Inputs (English)'!B60,"0")&amp;" confezioni per ordine."</f>
        <v/>
      </c>
      <c r="B31" s="51" t="n"/>
      <c r="C31" s="51" t="n"/>
      <c r="D31" s="51" t="n"/>
      <c r="E31" s="51" t="n"/>
      <c r="F31" s="51" t="n"/>
      <c r="G31" s="51" t="n"/>
      <c r="H31" s="51" t="n"/>
    </row>
    <row r="32">
      <c r="A32" s="79" t="inlineStr">
        <is>
          <t>Valori provvisori a scopo di modello. Metrico e US customary indicati insieme.</t>
        </is>
      </c>
      <c r="B32" s="51" t="n"/>
      <c r="C32" s="51" t="n"/>
      <c r="D32" s="51" t="n"/>
      <c r="E32" s="51" t="n"/>
      <c r="F32" s="51" t="n"/>
      <c r="G32" s="51" t="n"/>
      <c r="H32" s="51" t="n"/>
    </row>
    <row r="33">
      <c r="A33" s="51" t="n"/>
      <c r="B33" s="51" t="n"/>
      <c r="C33" s="51" t="n"/>
      <c r="D33" s="51" t="n"/>
      <c r="E33" s="51" t="n"/>
      <c r="F33" s="51" t="n"/>
      <c r="G33" s="51" t="n"/>
      <c r="H33" s="51" t="n"/>
    </row>
    <row r="34">
      <c r="A34" s="81" t="inlineStr">
        <is>
          <t>Crema Italia, LLC  ·  Lutz, Florida, USA  ·  cremaitalia.com</t>
        </is>
      </c>
    </row>
    <row r="35">
      <c r="A35" s="51" t="n"/>
      <c r="B35" s="51" t="n"/>
      <c r="C35" s="51" t="n"/>
      <c r="D35" s="51" t="n"/>
      <c r="E35" s="51" t="n"/>
      <c r="F35" s="51" t="n"/>
      <c r="G35" s="51" t="n"/>
      <c r="H35" s="51" t="n"/>
    </row>
    <row r="36">
      <c r="A36" s="51" t="n"/>
      <c r="B36" s="51" t="n"/>
      <c r="C36" s="51" t="n"/>
      <c r="D36" s="51" t="n"/>
      <c r="E36" s="51" t="n"/>
      <c r="F36" s="51" t="n"/>
      <c r="G36" s="51" t="n"/>
      <c r="H36" s="51" t="n"/>
    </row>
    <row r="37">
      <c r="A37" s="51" t="n"/>
      <c r="B37" s="51" t="n"/>
      <c r="C37" s="51" t="n"/>
      <c r="D37" s="51" t="n"/>
      <c r="E37" s="51" t="n"/>
      <c r="F37" s="51" t="n"/>
      <c r="G37" s="51" t="n"/>
      <c r="H37" s="51" t="n"/>
    </row>
    <row r="38">
      <c r="A38" s="51" t="n"/>
      <c r="B38" s="51" t="n"/>
      <c r="C38" s="51" t="n"/>
      <c r="D38" s="51" t="n"/>
      <c r="E38" s="51" t="n"/>
      <c r="F38" s="51" t="n"/>
      <c r="G38" s="51" t="n"/>
      <c r="H38" s="51" t="n"/>
    </row>
    <row r="39">
      <c r="A39" s="51" t="n"/>
      <c r="B39" s="51" t="n"/>
      <c r="C39" s="51" t="n"/>
      <c r="D39" s="51" t="n"/>
      <c r="E39" s="51" t="n"/>
      <c r="F39" s="51" t="n"/>
      <c r="G39" s="51" t="n"/>
      <c r="H39" s="51" t="n"/>
    </row>
    <row r="40">
      <c r="A40" s="51" t="n"/>
      <c r="B40" s="51" t="n"/>
      <c r="C40" s="51" t="n"/>
      <c r="D40" s="51" t="n"/>
      <c r="E40" s="51" t="n"/>
      <c r="F40" s="51" t="n"/>
      <c r="G40" s="51" t="n"/>
      <c r="H40" s="51" t="n"/>
    </row>
    <row r="41">
      <c r="A41" s="51" t="n"/>
      <c r="B41" s="51" t="n"/>
      <c r="C41" s="51" t="n"/>
      <c r="D41" s="51" t="n"/>
      <c r="E41" s="51" t="n"/>
      <c r="F41" s="51" t="n"/>
      <c r="G41" s="51" t="n"/>
      <c r="H41" s="51" t="n"/>
    </row>
  </sheetData>
  <mergeCells count="7">
    <mergeCell ref="A3:H3"/>
    <mergeCell ref="A24:H24"/>
    <mergeCell ref="A2:H2"/>
    <mergeCell ref="B27:D27"/>
    <mergeCell ref="A5:H6"/>
    <mergeCell ref="A22:H22"/>
    <mergeCell ref="A34:H34"/>
  </mergeCells>
  <conditionalFormatting sqref="B27">
    <cfRule type="expression" priority="1" dxfId="0">
      <formula>AND(ISNUMBER('Inputs (English)'!B102),'Inputs (English)'!B7&lt;='Inputs (English)'!B102)</formula>
    </cfRule>
    <cfRule type="expression" priority="2" dxfId="1">
      <formula>OR(NOT(ISNUMBER('Inputs (English)'!B102)),'Inputs (English)'!B7&gt;'Inputs (English)'!B102)</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2026-09-03T20:21:30Z</dcterms:created>
  <dcterms:modified xmlns:dcterms="http://purl.org/dc/terms/" xmlns:xsi="http://www.w3.org/2001/XMLSchema-instance" xsi:type="dcterms:W3CDTF">2026-09-03T20:21:30Z</dcterms:modified>
</cp:coreProperties>
</file>